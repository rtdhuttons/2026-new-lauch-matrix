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Summary" sheetId="2" state="visible" r:id="rId2"/>
  </sheets>
  <definedNames>
    <definedName name="_xlnm._FilterDatabase" localSheetId="0" hidden="1">'Projects'!$A$5:$Q$132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0"/>
    </font>
    <font>
      <name val="Arial"/>
      <b val="1"/>
      <color rgb="00FFFFFF"/>
      <sz val="10"/>
    </font>
    <font>
      <name val="Arial"/>
      <i val="1"/>
      <color rgb="007F7F7F"/>
      <sz val="10"/>
    </font>
    <font>
      <name val="Arial"/>
      <i val="1"/>
      <sz val="9"/>
    </font>
  </fonts>
  <fills count="5">
    <fill>
      <patternFill/>
    </fill>
    <fill>
      <patternFill patternType="gray125"/>
    </fill>
    <fill>
      <patternFill patternType="solid">
        <fgColor rgb="0010291C"/>
      </patternFill>
    </fill>
    <fill>
      <patternFill patternType="solid">
        <fgColor rgb="00F2F2F2"/>
      </patternFill>
    </fill>
    <fill>
      <patternFill patternType="solid">
        <fgColor rgb="00FFFF00"/>
      </patternFill>
    </fill>
  </fills>
  <borders count="2">
    <border>
      <left/>
      <right/>
      <top/>
      <bottom/>
      <diagonal/>
    </border>
    <border>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3" fillId="2" borderId="0" applyAlignment="1" pivotButton="0" quotePrefix="0" xfId="0">
      <alignment vertical="center" wrapText="1"/>
    </xf>
    <xf numFmtId="0" fontId="4" fillId="3" borderId="0" pivotButton="0" quotePrefix="0" xfId="0"/>
    <xf numFmtId="0" fontId="2" fillId="0" borderId="1" applyAlignment="1" pivotButton="0" quotePrefix="0" xfId="0">
      <alignment vertical="top"/>
    </xf>
    <xf numFmtId="0" fontId="2" fillId="0" borderId="1" applyAlignment="1" pivotButton="0" quotePrefix="0" xfId="0">
      <alignment vertical="top" wrapText="1"/>
    </xf>
    <xf numFmtId="3" fontId="2" fillId="0" borderId="1" applyAlignment="1" pivotButton="0" quotePrefix="0" xfId="0">
      <alignment vertical="top"/>
    </xf>
    <xf numFmtId="0" fontId="2" fillId="4" borderId="1" applyAlignment="1" pivotButton="0" quotePrefix="0" xfId="0">
      <alignment vertical="top" wrapText="1"/>
    </xf>
    <xf numFmtId="3" fontId="2" fillId="4" borderId="1" applyAlignment="1" pivotButton="0" quotePrefix="0" xfId="0">
      <alignment vertical="top"/>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2"/>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8" customWidth="1" min="3" max="3"/>
    <col width="26" customWidth="1" min="4" max="4"/>
    <col width="8" customWidth="1" min="5" max="5"/>
    <col width="34" customWidth="1" min="6" max="6"/>
    <col width="14" customWidth="1" min="7" max="7"/>
    <col width="34" customWidth="1" min="8" max="8"/>
    <col width="9" customWidth="1" min="9" max="9"/>
    <col width="9" customWidth="1" min="10" max="10"/>
    <col width="12" customWidth="1" min="11" max="11"/>
    <col width="13" customWidth="1" min="12" max="12"/>
    <col width="26" customWidth="1" min="13" max="13"/>
    <col width="34" customWidth="1" min="14" max="14"/>
    <col width="38" customWidth="1" min="15" max="15"/>
    <col width="34" customWidth="1" min="16" max="16"/>
    <col width="12" customWidth="1" min="17" max="17"/>
  </cols>
  <sheetData>
    <row r="1">
      <c r="A1" s="1" t="inlineStr">
        <is>
          <t>TRM new launches map: projects for comparable resale and rental records</t>
        </is>
      </c>
    </row>
    <row r="2">
      <c r="A2" s="2" t="inlineStr">
        <is>
          <t>126 projects on the map (selling or upcoming), from the Huttons New Launch API as at 2026-10-05.</t>
        </is>
      </c>
    </row>
    <row r="3" ht="28" customHeight="1">
      <c r="A3" s="3" t="inlineStr">
        <is>
          <t>How to fill in: type the name of a completed project to use as the comparable in the yellow column (as URA lists it, e.g. JADESCAPE). Add more than one separated by semicolons. Leave blank to skip. Row 6 is an example.</t>
        </is>
      </c>
    </row>
    <row r="5" ht="32" customHeight="1">
      <c r="A5" s="4" t="inlineStr">
        <is>
          <t>No.</t>
        </is>
      </c>
      <c r="B5" s="4" t="inlineStr">
        <is>
          <t>Project</t>
        </is>
      </c>
      <c r="C5" s="4" t="inlineStr">
        <is>
          <t>District</t>
        </is>
      </c>
      <c r="D5" s="4" t="inlineStr">
        <is>
          <t>Area</t>
        </is>
      </c>
      <c r="E5" s="4" t="inlineStr">
        <is>
          <t>Region</t>
        </is>
      </c>
      <c r="F5" s="4" t="inlineStr">
        <is>
          <t>Address</t>
        </is>
      </c>
      <c r="G5" s="4" t="inlineStr">
        <is>
          <t>Tenure</t>
        </is>
      </c>
      <c r="H5" s="4" t="inlineStr">
        <is>
          <t>Developer</t>
        </is>
      </c>
      <c r="I5" s="4" t="inlineStr">
        <is>
          <t>Total units</t>
        </is>
      </c>
      <c r="J5" s="4" t="inlineStr">
        <is>
          <t>Units left</t>
        </is>
      </c>
      <c r="K5" s="4" t="inlineStr">
        <is>
          <t>Launch date</t>
        </is>
      </c>
      <c r="L5" s="4" t="inlineStr">
        <is>
          <t>Expected completion</t>
        </is>
      </c>
      <c r="M5" s="4" t="inlineStr">
        <is>
          <t>Mini site</t>
        </is>
      </c>
      <c r="N5" s="4" t="inlineStr">
        <is>
          <t>Map project ID</t>
        </is>
      </c>
      <c r="O5" s="4" t="inlineStr">
        <is>
          <t>Comparable project(s) for resale and rental records</t>
        </is>
      </c>
      <c r="P5" s="4" t="inlineStr">
        <is>
          <t>Why it's comparable (optional)</t>
        </is>
      </c>
      <c r="Q5" s="4" t="inlineStr">
        <is>
          <t>Distance limit (km, optional)</t>
        </is>
      </c>
    </row>
    <row r="6">
      <c r="A6" s="5" t="inlineStr">
        <is>
          <t>e.g.</t>
        </is>
      </c>
      <c r="B6" s="5" t="inlineStr">
        <is>
          <t>Thomson Reserve (example)</t>
        </is>
      </c>
      <c r="C6" s="5" t="inlineStr">
        <is>
          <t>D20</t>
        </is>
      </c>
      <c r="D6" s="5" t="inlineStr">
        <is>
          <t>Ang Mo Kio / Bishan / Thomson</t>
        </is>
      </c>
      <c r="E6" s="5" t="inlineStr">
        <is>
          <t>RCR</t>
        </is>
      </c>
      <c r="F6" s="5" t="inlineStr">
        <is>
          <t>Bright Hill Drive</t>
        </is>
      </c>
      <c r="G6" s="5" t="inlineStr">
        <is>
          <t>99 Years</t>
        </is>
      </c>
      <c r="H6" s="5" t="inlineStr"/>
      <c r="I6" s="5" t="inlineStr"/>
      <c r="J6" s="5" t="inlineStr"/>
      <c r="K6" s="5" t="inlineStr"/>
      <c r="L6" s="5" t="inlineStr"/>
      <c r="M6" s="5" t="inlineStr"/>
      <c r="N6" s="5" t="inlineStr"/>
      <c r="O6" s="5" t="inlineStr">
        <is>
          <t>JADESCAPE</t>
        </is>
      </c>
      <c r="P6" s="5" t="inlineStr">
        <is>
          <t>Same developer scale, high-rise next to landed homes, MRT at the doorstep</t>
        </is>
      </c>
      <c r="Q6" s="5" t="inlineStr">
        <is>
          <t>2</t>
        </is>
      </c>
    </row>
    <row r="7">
      <c r="A7" s="6" t="n">
        <v>1</v>
      </c>
      <c r="B7" s="7" t="inlineStr">
        <is>
          <t>21 Anderson</t>
        </is>
      </c>
      <c r="C7" s="6" t="inlineStr">
        <is>
          <t>D10</t>
        </is>
      </c>
      <c r="D7" s="7" t="inlineStr">
        <is>
          <t>Tanglin / Holland</t>
        </is>
      </c>
      <c r="E7" s="6" t="inlineStr">
        <is>
          <t>CCR</t>
        </is>
      </c>
      <c r="F7" s="7" t="inlineStr">
        <is>
          <t xml:space="preserve">21 Anderson Road
</t>
        </is>
      </c>
      <c r="G7" s="6" t="inlineStr">
        <is>
          <t>Freehold</t>
        </is>
      </c>
      <c r="H7" s="7" t="inlineStr">
        <is>
          <t>Anderson International Properties Pte Ltd &amp; Raffles Legend Properties Pte Ltd</t>
        </is>
      </c>
      <c r="I7" s="8" t="n">
        <v>18</v>
      </c>
      <c r="J7" s="8" t="n">
        <v>1</v>
      </c>
      <c r="K7" s="6" t="inlineStr">
        <is>
          <t>2025-04-02</t>
        </is>
      </c>
      <c r="L7" s="6" t="inlineStr">
        <is>
          <t>2025-12-31</t>
        </is>
      </c>
      <c r="M7" s="7" t="inlineStr">
        <is>
          <t>Site plan traced</t>
        </is>
      </c>
      <c r="N7" s="6" t="inlineStr">
        <is>
          <t>b87e1770aeeb4edaa5927143b6cebe0c</t>
        </is>
      </c>
      <c r="O7" s="9" t="n"/>
      <c r="P7" s="9" t="n"/>
      <c r="Q7" s="10" t="n"/>
    </row>
    <row r="8">
      <c r="A8" s="6" t="n">
        <v>2</v>
      </c>
      <c r="B8" s="7" t="inlineStr">
        <is>
          <t>26 Newton</t>
        </is>
      </c>
      <c r="C8" s="6" t="inlineStr">
        <is>
          <t>D11</t>
        </is>
      </c>
      <c r="D8" s="7" t="inlineStr">
        <is>
          <t>Newton / Novena</t>
        </is>
      </c>
      <c r="E8" s="6" t="inlineStr">
        <is>
          <t>CCR</t>
        </is>
      </c>
      <c r="F8" s="7" t="inlineStr">
        <is>
          <t>26 Newton Rd</t>
        </is>
      </c>
      <c r="G8" s="6" t="inlineStr">
        <is>
          <t>Freehold</t>
        </is>
      </c>
      <c r="H8" s="7" t="inlineStr">
        <is>
          <t>Novelty Corp Pte Ltd</t>
        </is>
      </c>
      <c r="I8" s="8" t="n">
        <v>180</v>
      </c>
      <c r="J8" s="8" t="n">
        <v>4</v>
      </c>
      <c r="K8" s="6" t="inlineStr">
        <is>
          <t>2012-03-23</t>
        </is>
      </c>
      <c r="L8" s="6" t="inlineStr">
        <is>
          <t>2016-12-31</t>
        </is>
      </c>
      <c r="M8" s="7" t="inlineStr">
        <is>
          <t>Schematic layout</t>
        </is>
      </c>
      <c r="N8" s="6" t="inlineStr">
        <is>
          <t>3a4782498bdd46bfaf5a31d2a6c02776</t>
        </is>
      </c>
      <c r="O8" s="9" t="n"/>
      <c r="P8" s="9" t="n"/>
      <c r="Q8" s="10" t="n"/>
    </row>
    <row r="9">
      <c r="A9" s="6" t="n">
        <v>3</v>
      </c>
      <c r="B9" s="7" t="inlineStr">
        <is>
          <t>8@BT</t>
        </is>
      </c>
      <c r="C9" s="6" t="inlineStr">
        <is>
          <t>D21</t>
        </is>
      </c>
      <c r="D9" s="7" t="inlineStr">
        <is>
          <t>Clementi / Upper Bukit Timah</t>
        </is>
      </c>
      <c r="E9" s="6" t="inlineStr">
        <is>
          <t>RCR</t>
        </is>
      </c>
      <c r="F9" s="7" t="inlineStr">
        <is>
          <t>6 &amp; 8 Bukit Timah Link</t>
        </is>
      </c>
      <c r="G9" s="6" t="inlineStr">
        <is>
          <t>99 Years</t>
        </is>
      </c>
      <c r="H9" s="7" t="inlineStr">
        <is>
          <t>Bukit One Pte Ltd</t>
        </is>
      </c>
      <c r="I9" s="8" t="n">
        <v>158</v>
      </c>
      <c r="J9" s="8" t="n">
        <v>35</v>
      </c>
      <c r="K9" s="6" t="inlineStr">
        <is>
          <t>2024-09-21</t>
        </is>
      </c>
      <c r="L9" s="6" t="inlineStr">
        <is>
          <t>2027-12-31</t>
        </is>
      </c>
      <c r="M9" s="7" t="inlineStr">
        <is>
          <t>Site plan traced</t>
        </is>
      </c>
      <c r="N9" s="6" t="inlineStr">
        <is>
          <t>00a420908c8249778e11c7d2259afb18</t>
        </is>
      </c>
      <c r="O9" s="9" t="n"/>
      <c r="P9" s="9" t="n"/>
      <c r="Q9" s="10" t="n"/>
    </row>
    <row r="10">
      <c r="A10" s="6" t="n">
        <v>4</v>
      </c>
      <c r="B10" s="7" t="inlineStr">
        <is>
          <t>Amberwood At Holland</t>
        </is>
      </c>
      <c r="C10" s="6" t="inlineStr">
        <is>
          <t>D10</t>
        </is>
      </c>
      <c r="D10" s="7" t="inlineStr">
        <is>
          <t>Tanglin / Holland</t>
        </is>
      </c>
      <c r="E10" s="6" t="inlineStr">
        <is>
          <t>CCR</t>
        </is>
      </c>
      <c r="F10" s="7" t="inlineStr">
        <is>
          <t>30,32,34,36,38,40, 42 ,44, 48, 50,52 Holland Link</t>
        </is>
      </c>
      <c r="G10" s="6" t="inlineStr">
        <is>
          <t>99 Years</t>
        </is>
      </c>
      <c r="H10" s="7" t="inlineStr">
        <is>
          <t>Sim Lian JV (Holland) Pte. Ltd.</t>
        </is>
      </c>
      <c r="I10" s="8" t="n">
        <v>212</v>
      </c>
      <c r="J10" s="8" t="n">
        <v>187</v>
      </c>
      <c r="K10" s="6" t="inlineStr">
        <is>
          <t>2026-09-26</t>
        </is>
      </c>
      <c r="L10" s="6" t="inlineStr">
        <is>
          <t>2030-06-30</t>
        </is>
      </c>
      <c r="M10" s="7" t="inlineStr">
        <is>
          <t>Site plan traced</t>
        </is>
      </c>
      <c r="N10" s="6" t="inlineStr">
        <is>
          <t>a1bec73dbfd74619848faf3e0c5090c9</t>
        </is>
      </c>
      <c r="O10" s="9" t="n"/>
      <c r="P10" s="9" t="n"/>
      <c r="Q10" s="10" t="n"/>
    </row>
    <row r="11">
      <c r="A11" s="6" t="n">
        <v>5</v>
      </c>
      <c r="B11" s="7" t="inlineStr">
        <is>
          <t>ARC 380</t>
        </is>
      </c>
      <c r="C11" s="6" t="inlineStr">
        <is>
          <t>D08</t>
        </is>
      </c>
      <c r="D11" s="7" t="inlineStr">
        <is>
          <t>Farrer Park / Serangoon Road</t>
        </is>
      </c>
      <c r="E11" s="6" t="inlineStr">
        <is>
          <t>RCR</t>
        </is>
      </c>
      <c r="F11" s="7" t="inlineStr">
        <is>
          <t>380 Jalan Besar</t>
        </is>
      </c>
      <c r="G11" s="6" t="inlineStr">
        <is>
          <t>Freehold</t>
        </is>
      </c>
      <c r="H11" s="7" t="inlineStr">
        <is>
          <t>Tong Eng Brothers</t>
        </is>
      </c>
      <c r="I11" s="8" t="n">
        <v>167</v>
      </c>
      <c r="J11" s="8" t="n">
        <v>9</v>
      </c>
      <c r="K11" s="6" t="inlineStr">
        <is>
          <t>2017-11-30</t>
        </is>
      </c>
      <c r="L11" s="6" t="inlineStr">
        <is>
          <t>2018-12-31</t>
        </is>
      </c>
      <c r="M11" s="7" t="inlineStr">
        <is>
          <t>Schematic layout</t>
        </is>
      </c>
      <c r="N11" s="6" t="inlineStr">
        <is>
          <t>b1d3d9c5b6624a59aa8158137c26f94f</t>
        </is>
      </c>
      <c r="O11" s="9" t="n"/>
      <c r="P11" s="9" t="n"/>
      <c r="Q11" s="10" t="n"/>
    </row>
    <row r="12">
      <c r="A12" s="6" t="n">
        <v>6</v>
      </c>
      <c r="B12" s="7" t="inlineStr">
        <is>
          <t>Ardor Residence</t>
        </is>
      </c>
      <c r="C12" s="6" t="inlineStr">
        <is>
          <t>D15</t>
        </is>
      </c>
      <c r="D12" s="7" t="inlineStr">
        <is>
          <t>East Coast / Marine Parade</t>
        </is>
      </c>
      <c r="E12" s="6" t="inlineStr">
        <is>
          <t>RCR</t>
        </is>
      </c>
      <c r="F12" s="7" t="inlineStr">
        <is>
          <t>181 Haig Road</t>
        </is>
      </c>
      <c r="G12" s="6" t="inlineStr">
        <is>
          <t>Freehold</t>
        </is>
      </c>
      <c r="H12" s="7" t="inlineStr">
        <is>
          <t>NS Property (HAIG) Pte Ltd</t>
        </is>
      </c>
      <c r="I12" s="8" t="n">
        <v>35</v>
      </c>
      <c r="J12" s="8" t="n">
        <v>1</v>
      </c>
      <c r="K12" s="6" t="inlineStr">
        <is>
          <t>2024-03-06</t>
        </is>
      </c>
      <c r="L12" s="6" t="inlineStr">
        <is>
          <t>2027-04-27</t>
        </is>
      </c>
      <c r="M12" s="7" t="inlineStr">
        <is>
          <t>Site plan traced</t>
        </is>
      </c>
      <c r="N12" s="6" t="inlineStr">
        <is>
          <t>a03af76f6a3649c0b3ca682177b03622</t>
        </is>
      </c>
      <c r="O12" s="9" t="n"/>
      <c r="P12" s="9" t="n"/>
      <c r="Q12" s="10" t="n"/>
    </row>
    <row r="13">
      <c r="A13" s="6" t="n">
        <v>7</v>
      </c>
      <c r="B13" s="7" t="inlineStr">
        <is>
          <t>Arina East Residences</t>
        </is>
      </c>
      <c r="C13" s="6" t="inlineStr">
        <is>
          <t>D15</t>
        </is>
      </c>
      <c r="D13" s="7" t="inlineStr">
        <is>
          <t>East Coast / Marine Parade</t>
        </is>
      </c>
      <c r="E13" s="6" t="inlineStr">
        <is>
          <t>RCR</t>
        </is>
      </c>
      <c r="F13" s="7" t="inlineStr">
        <is>
          <t>6C &amp; 6D TANJONG RHU ROAD</t>
        </is>
      </c>
      <c r="G13" s="6" t="inlineStr">
        <is>
          <t>Freehold</t>
        </is>
      </c>
      <c r="H13" s="7" t="inlineStr">
        <is>
          <t>ZACD LV Development Pte. Ltd.</t>
        </is>
      </c>
      <c r="I13" s="8" t="n">
        <v>107</v>
      </c>
      <c r="J13" s="8" t="n">
        <v>6</v>
      </c>
      <c r="K13" s="6" t="inlineStr">
        <is>
          <t>2025-06-07</t>
        </is>
      </c>
      <c r="L13" s="6" t="inlineStr">
        <is>
          <t>2027-12-31</t>
        </is>
      </c>
      <c r="M13" s="7" t="inlineStr">
        <is>
          <t>Site plan traced</t>
        </is>
      </c>
      <c r="N13" s="6" t="inlineStr">
        <is>
          <t>f8b877eb3d354bdfa56ef5b1b60924ca</t>
        </is>
      </c>
      <c r="O13" s="9" t="n"/>
      <c r="P13" s="9" t="n"/>
      <c r="Q13" s="10" t="n"/>
    </row>
    <row r="14">
      <c r="A14" s="6" t="n">
        <v>8</v>
      </c>
      <c r="B14" s="7" t="inlineStr">
        <is>
          <t>Artisan 8</t>
        </is>
      </c>
      <c r="C14" s="6" t="inlineStr">
        <is>
          <t>D20</t>
        </is>
      </c>
      <c r="D14" s="7" t="inlineStr">
        <is>
          <t>Ang Mo Kio / Bishan / Thomson</t>
        </is>
      </c>
      <c r="E14" s="6" t="inlineStr">
        <is>
          <t>RCR</t>
        </is>
      </c>
      <c r="F14" s="7" t="inlineStr">
        <is>
          <t>8 Sin Ming Road</t>
        </is>
      </c>
      <c r="G14" s="6" t="inlineStr">
        <is>
          <t>Freehold</t>
        </is>
      </c>
      <c r="H14" s="7" t="inlineStr">
        <is>
          <t>Apex Asia (2) Pte Ltd</t>
        </is>
      </c>
      <c r="I14" s="8" t="n">
        <v>42</v>
      </c>
      <c r="J14" s="8" t="n">
        <v>16</v>
      </c>
      <c r="K14" s="6" t="inlineStr">
        <is>
          <t>2025-08-21</t>
        </is>
      </c>
      <c r="L14" s="6" t="inlineStr">
        <is>
          <t>2027-06-30</t>
        </is>
      </c>
      <c r="M14" s="7" t="inlineStr">
        <is>
          <t>Schematic layout</t>
        </is>
      </c>
      <c r="N14" s="6" t="inlineStr">
        <is>
          <t>3086823b425e4aaa81b23c040747a924</t>
        </is>
      </c>
      <c r="O14" s="9" t="n"/>
      <c r="P14" s="9" t="n"/>
      <c r="Q14" s="10" t="n"/>
    </row>
    <row r="15">
      <c r="A15" s="6" t="n">
        <v>9</v>
      </c>
      <c r="B15" s="7" t="inlineStr">
        <is>
          <t>Atlassia</t>
        </is>
      </c>
      <c r="C15" s="6" t="inlineStr">
        <is>
          <t>D15</t>
        </is>
      </c>
      <c r="D15" s="7" t="inlineStr">
        <is>
          <t>East Coast / Marine Parade</t>
        </is>
      </c>
      <c r="E15" s="6" t="inlineStr">
        <is>
          <t>RCR</t>
        </is>
      </c>
      <c r="F15" s="7" t="inlineStr">
        <is>
          <t>40 Joo Chiat Place</t>
        </is>
      </c>
      <c r="G15" s="6" t="inlineStr">
        <is>
          <t>Freehold</t>
        </is>
      </c>
      <c r="H15" s="7" t="inlineStr">
        <is>
          <t>K16 Place Pte Ltd</t>
        </is>
      </c>
      <c r="I15" s="8" t="n">
        <v>39</v>
      </c>
      <c r="J15" s="8" t="n">
        <v>3</v>
      </c>
      <c r="K15" s="6" t="inlineStr">
        <is>
          <t>2022-03-31</t>
        </is>
      </c>
      <c r="L15" s="6" t="inlineStr">
        <is>
          <t>2025-11-15</t>
        </is>
      </c>
      <c r="M15" s="7" t="inlineStr">
        <is>
          <t>Site plan traced</t>
        </is>
      </c>
      <c r="N15" s="6" t="inlineStr">
        <is>
          <t>d0cc32d4726b49e395146ed9c349dcdf</t>
        </is>
      </c>
      <c r="O15" s="9" t="n"/>
      <c r="P15" s="9" t="n"/>
      <c r="Q15" s="10" t="n"/>
    </row>
    <row r="16">
      <c r="A16" s="6" t="n">
        <v>10</v>
      </c>
      <c r="B16" s="7" t="inlineStr">
        <is>
          <t>Aurea</t>
        </is>
      </c>
      <c r="C16" s="6" t="inlineStr">
        <is>
          <t>D07</t>
        </is>
      </c>
      <c r="D16" s="7" t="inlineStr">
        <is>
          <t>Beach Road / Bugis / Rochor</t>
        </is>
      </c>
      <c r="E16" s="6" t="inlineStr">
        <is>
          <t>CCR</t>
        </is>
      </c>
      <c r="F16" s="7" t="inlineStr">
        <is>
          <t>802 Beach Road</t>
        </is>
      </c>
      <c r="G16" s="6" t="inlineStr">
        <is>
          <t>99 Years</t>
        </is>
      </c>
      <c r="H16" s="7" t="inlineStr">
        <is>
          <t>GMC Property Pte. Ltd.</t>
        </is>
      </c>
      <c r="I16" s="8" t="n">
        <v>188</v>
      </c>
      <c r="J16" s="8" t="n">
        <v>98</v>
      </c>
      <c r="K16" s="6" t="inlineStr">
        <is>
          <t>2025-03-08</t>
        </is>
      </c>
      <c r="L16" s="6" t="inlineStr">
        <is>
          <t>2029-06-30</t>
        </is>
      </c>
      <c r="M16" s="7" t="inlineStr">
        <is>
          <t>Site plan traced</t>
        </is>
      </c>
      <c r="N16" s="6" t="inlineStr">
        <is>
          <t>c2cf5c2178c5433fb6eb56cbe2dfbb3d</t>
        </is>
      </c>
      <c r="O16" s="9" t="n"/>
      <c r="P16" s="9" t="n"/>
      <c r="Q16" s="10" t="n"/>
    </row>
    <row r="17">
      <c r="A17" s="6" t="n">
        <v>11</v>
      </c>
      <c r="B17" s="7" t="inlineStr">
        <is>
          <t>Bagnall Haus</t>
        </is>
      </c>
      <c r="C17" s="6" t="inlineStr">
        <is>
          <t>D16</t>
        </is>
      </c>
      <c r="D17" s="7" t="inlineStr">
        <is>
          <t>Bedok / Upper East Coast</t>
        </is>
      </c>
      <c r="E17" s="6" t="inlineStr">
        <is>
          <t>OCR</t>
        </is>
      </c>
      <c r="F17" s="7" t="inlineStr">
        <is>
          <t xml:space="preserve">811 , 813 , 815 Upper East Coast Road
</t>
        </is>
      </c>
      <c r="G17" s="6" t="inlineStr">
        <is>
          <t>Freehold</t>
        </is>
      </c>
      <c r="H17" s="7" t="inlineStr">
        <is>
          <t>RL Bagnall Pte Ltd</t>
        </is>
      </c>
      <c r="I17" s="8" t="n">
        <v>115</v>
      </c>
      <c r="J17" s="8" t="n">
        <v>3</v>
      </c>
      <c r="K17" s="6" t="inlineStr">
        <is>
          <t>2025-01-18</t>
        </is>
      </c>
      <c r="L17" s="6" t="inlineStr">
        <is>
          <t>2028-12-31</t>
        </is>
      </c>
      <c r="M17" s="7" t="inlineStr">
        <is>
          <t>Site plan traced</t>
        </is>
      </c>
      <c r="N17" s="6" t="inlineStr">
        <is>
          <t>d628a74456874b778432799fd9e53517</t>
        </is>
      </c>
      <c r="O17" s="9" t="n"/>
      <c r="P17" s="9" t="n"/>
      <c r="Q17" s="10" t="n"/>
    </row>
    <row r="18">
      <c r="A18" s="6" t="n">
        <v>12</v>
      </c>
      <c r="B18" s="7" t="inlineStr">
        <is>
          <t>Bedok Rise GLS</t>
        </is>
      </c>
      <c r="C18" s="6" t="inlineStr">
        <is>
          <t>D16</t>
        </is>
      </c>
      <c r="D18" s="7" t="inlineStr">
        <is>
          <t>Bedok / Upper East Coast</t>
        </is>
      </c>
      <c r="E18" s="6" t="inlineStr">
        <is>
          <t>OCR</t>
        </is>
      </c>
      <c r="F18" s="7" t="inlineStr">
        <is>
          <t>Bedok Rise</t>
        </is>
      </c>
      <c r="G18" s="6" t="inlineStr">
        <is>
          <t>Freehold</t>
        </is>
      </c>
      <c r="H18" s="7" t="inlineStr">
        <is>
          <t>Allgreen Properties Limited</t>
        </is>
      </c>
      <c r="I18" s="8" t="n">
        <v>380</v>
      </c>
      <c r="J18" s="8" t="n"/>
      <c r="K18" s="6" t="inlineStr">
        <is>
          <t>2027-02-27</t>
        </is>
      </c>
      <c r="L18" s="6" t="inlineStr">
        <is>
          <t>2029-03-30</t>
        </is>
      </c>
      <c r="M18" s="7" t="inlineStr">
        <is>
          <t>Coming soon (units not released)</t>
        </is>
      </c>
      <c r="N18" s="6" t="inlineStr">
        <is>
          <t>0855eefe285a456783eeda789a0203cf</t>
        </is>
      </c>
      <c r="O18" s="9" t="n"/>
      <c r="P18" s="9" t="n"/>
      <c r="Q18" s="10" t="n"/>
    </row>
    <row r="19">
      <c r="A19" s="6" t="n">
        <v>13</v>
      </c>
      <c r="B19" s="7" t="inlineStr">
        <is>
          <t>Belgravia Ace</t>
        </is>
      </c>
      <c r="C19" s="6" t="inlineStr">
        <is>
          <t>D28</t>
        </is>
      </c>
      <c r="D19" s="7" t="inlineStr">
        <is>
          <t>Seletar / Yio Chu Kang</t>
        </is>
      </c>
      <c r="E19" s="6" t="inlineStr">
        <is>
          <t>OCR</t>
        </is>
      </c>
      <c r="F19" s="7" t="inlineStr">
        <is>
          <t>Belgravia Drive</t>
        </is>
      </c>
      <c r="G19" s="6" t="inlineStr">
        <is>
          <t>Freehold</t>
        </is>
      </c>
      <c r="H19" s="7" t="inlineStr">
        <is>
          <t>FAIRVIEW DEVELOPMENTS PTE LTD</t>
        </is>
      </c>
      <c r="I19" s="8" t="n">
        <v>107</v>
      </c>
      <c r="J19" s="8" t="n">
        <v>14</v>
      </c>
      <c r="K19" s="6" t="inlineStr">
        <is>
          <t>2026-09-17</t>
        </is>
      </c>
      <c r="L19" s="6" t="inlineStr">
        <is>
          <t>2026-04-21</t>
        </is>
      </c>
      <c r="M19" s="7" t="inlineStr">
        <is>
          <t>Schematic layout</t>
        </is>
      </c>
      <c r="N19" s="6" t="inlineStr">
        <is>
          <t>6527d3d2d1724fdc965f655766848e9e</t>
        </is>
      </c>
      <c r="O19" s="9" t="n"/>
      <c r="P19" s="9" t="n"/>
      <c r="Q19" s="10" t="n"/>
    </row>
    <row r="20">
      <c r="A20" s="6" t="n">
        <v>14</v>
      </c>
      <c r="B20" s="7" t="inlineStr">
        <is>
          <t>Bloomsbury Residences</t>
        </is>
      </c>
      <c r="C20" s="6" t="inlineStr">
        <is>
          <t>D05</t>
        </is>
      </c>
      <c r="D20" s="7" t="inlineStr">
        <is>
          <t>Buona Vista / West Coast</t>
        </is>
      </c>
      <c r="E20" s="6" t="inlineStr">
        <is>
          <t>RCR</t>
        </is>
      </c>
      <c r="F20" s="7" t="inlineStr">
        <is>
          <t>61, 65, 63 Media Circle Road</t>
        </is>
      </c>
      <c r="G20" s="6" t="inlineStr">
        <is>
          <t>99 Years</t>
        </is>
      </c>
      <c r="H20" s="7" t="inlineStr">
        <is>
          <t>Media Circle Development Pte Ltd</t>
        </is>
      </c>
      <c r="I20" s="8" t="n">
        <v>358</v>
      </c>
      <c r="J20" s="8" t="n">
        <v>41</v>
      </c>
      <c r="K20" s="6" t="inlineStr">
        <is>
          <t>2025-04-12</t>
        </is>
      </c>
      <c r="L20" s="6" t="inlineStr">
        <is>
          <t>2028-11-30</t>
        </is>
      </c>
      <c r="M20" s="7" t="inlineStr">
        <is>
          <t>Site plan traced</t>
        </is>
      </c>
      <c r="N20" s="6" t="inlineStr">
        <is>
          <t>2546baa1d7364ff1b2024aa98c49a248</t>
        </is>
      </c>
      <c r="O20" s="9" t="n"/>
      <c r="P20" s="9" t="n"/>
      <c r="Q20" s="10" t="n"/>
    </row>
    <row r="21">
      <c r="A21" s="6" t="n">
        <v>15</v>
      </c>
      <c r="B21" s="7" t="inlineStr">
        <is>
          <t>Canberra Crescent Residences</t>
        </is>
      </c>
      <c r="C21" s="6" t="inlineStr">
        <is>
          <t>D27</t>
        </is>
      </c>
      <c r="D21" s="7" t="inlineStr">
        <is>
          <t>Sembawang / Yishun</t>
        </is>
      </c>
      <c r="E21" s="6" t="inlineStr">
        <is>
          <t>OCR</t>
        </is>
      </c>
      <c r="F21" s="7" t="inlineStr">
        <is>
          <t>51 , 53 , 55 , 57 Canberra Crescent</t>
        </is>
      </c>
      <c r="G21" s="6" t="inlineStr">
        <is>
          <t>99 years</t>
        </is>
      </c>
      <c r="H21" s="7" t="inlineStr">
        <is>
          <t>Peak Crescent Pte Ltd</t>
        </is>
      </c>
      <c r="I21" s="8" t="n">
        <v>376</v>
      </c>
      <c r="J21" s="8" t="n">
        <v>24</v>
      </c>
      <c r="K21" s="6" t="inlineStr">
        <is>
          <t>2025-08-02</t>
        </is>
      </c>
      <c r="L21" s="6" t="inlineStr">
        <is>
          <t>2028-12-31</t>
        </is>
      </c>
      <c r="M21" s="7" t="inlineStr">
        <is>
          <t>Site plan traced</t>
        </is>
      </c>
      <c r="N21" s="6" t="inlineStr">
        <is>
          <t>697564dce09a4511a8d56e739ecdaabd</t>
        </is>
      </c>
      <c r="O21" s="9" t="n"/>
      <c r="P21" s="9" t="n"/>
      <c r="Q21" s="10" t="n"/>
    </row>
    <row r="22">
      <c r="A22" s="6" t="n">
        <v>16</v>
      </c>
      <c r="B22" s="7" t="inlineStr">
        <is>
          <t>Canninghill Piers</t>
        </is>
      </c>
      <c r="C22" s="6" t="inlineStr">
        <is>
          <t>D06</t>
        </is>
      </c>
      <c r="D22" s="7" t="inlineStr">
        <is>
          <t>City Hall / Clarke Quay</t>
        </is>
      </c>
      <c r="E22" s="6" t="inlineStr">
        <is>
          <t>RCR</t>
        </is>
      </c>
      <c r="F22" s="7" t="inlineStr">
        <is>
          <t>Clarke Quay</t>
        </is>
      </c>
      <c r="G22" s="6" t="inlineStr">
        <is>
          <t>99 Years</t>
        </is>
      </c>
      <c r="H22" s="7" t="inlineStr">
        <is>
          <t>Legend Quay Pte Ltd (CDL &amp; Capitaland)</t>
        </is>
      </c>
      <c r="I22" s="8" t="n">
        <v>696</v>
      </c>
      <c r="J22" s="8" t="n">
        <v>4</v>
      </c>
      <c r="K22" s="6" t="inlineStr">
        <is>
          <t>2021-11-20</t>
        </is>
      </c>
      <c r="L22" s="6" t="inlineStr">
        <is>
          <t>2026-12-31</t>
        </is>
      </c>
      <c r="M22" s="7" t="inlineStr">
        <is>
          <t>Site plan traced</t>
        </is>
      </c>
      <c r="N22" s="6" t="inlineStr">
        <is>
          <t>227b5a5863fa4631875adcfb07b38cae</t>
        </is>
      </c>
      <c r="O22" s="9" t="n"/>
      <c r="P22" s="9" t="n"/>
      <c r="Q22" s="10" t="n"/>
    </row>
    <row r="23">
      <c r="A23" s="6" t="n">
        <v>17</v>
      </c>
      <c r="B23" s="7" t="inlineStr">
        <is>
          <t>Cape Royale</t>
        </is>
      </c>
      <c r="C23" s="6" t="inlineStr">
        <is>
          <t>D04</t>
        </is>
      </c>
      <c r="D23" s="7" t="inlineStr">
        <is>
          <t>/ SOUTHERN ISLANDS</t>
        </is>
      </c>
      <c r="E23" s="6" t="inlineStr">
        <is>
          <t>CCR</t>
        </is>
      </c>
      <c r="F23" s="7" t="inlineStr">
        <is>
          <t>11, 25 COVE WAY</t>
        </is>
      </c>
      <c r="G23" s="6" t="inlineStr">
        <is>
          <t>99 YEARS</t>
        </is>
      </c>
      <c r="H23" s="7" t="inlineStr">
        <is>
          <t>PINNACLE (SENTOSA) PTE LTD</t>
        </is>
      </c>
      <c r="I23" s="8" t="n">
        <v>302</v>
      </c>
      <c r="J23" s="8" t="n">
        <v>101</v>
      </c>
      <c r="K23" s="6" t="inlineStr">
        <is>
          <t>2022-05-28</t>
        </is>
      </c>
      <c r="L23" s="6" t="inlineStr">
        <is>
          <t>2013-12-31</t>
        </is>
      </c>
      <c r="M23" s="7" t="inlineStr">
        <is>
          <t>Schematic layout</t>
        </is>
      </c>
      <c r="N23" s="6" t="inlineStr">
        <is>
          <t>28d43ed6d0b6482297214f731c84dd63</t>
        </is>
      </c>
      <c r="O23" s="9" t="n"/>
      <c r="P23" s="9" t="n"/>
      <c r="Q23" s="10" t="n"/>
    </row>
    <row r="24">
      <c r="A24" s="6" t="n">
        <v>18</v>
      </c>
      <c r="B24" s="7" t="inlineStr">
        <is>
          <t>CECIL PLACE</t>
        </is>
      </c>
      <c r="C24" s="6" t="inlineStr">
        <is>
          <t>D01</t>
        </is>
      </c>
      <c r="D24" s="7" t="inlineStr">
        <is>
          <t>Boat Quay / Raffles Place</t>
        </is>
      </c>
      <c r="E24" s="6" t="inlineStr">
        <is>
          <t>CCR</t>
        </is>
      </c>
      <c r="F24" s="7" t="inlineStr">
        <is>
          <t>137 Cecil Street</t>
        </is>
      </c>
      <c r="G24" s="6" t="inlineStr">
        <is>
          <t>Freehold</t>
        </is>
      </c>
      <c r="H24" s="7" t="inlineStr">
        <is>
          <t>Cecil Pte Ltd</t>
        </is>
      </c>
      <c r="I24" s="8" t="n">
        <v>30</v>
      </c>
      <c r="J24" s="8" t="n">
        <v>19</v>
      </c>
      <c r="K24" s="6" t="inlineStr">
        <is>
          <t>2008-09-24</t>
        </is>
      </c>
      <c r="L24" s="6" t="inlineStr">
        <is>
          <t>2027-03-31</t>
        </is>
      </c>
      <c r="M24" s="7" t="inlineStr">
        <is>
          <t>Schematic layout</t>
        </is>
      </c>
      <c r="N24" s="6" t="inlineStr">
        <is>
          <t>e409b14a685243cb85d6e07214f46b31</t>
        </is>
      </c>
      <c r="O24" s="9" t="n"/>
      <c r="P24" s="9" t="n"/>
      <c r="Q24" s="10" t="n"/>
    </row>
    <row r="25">
      <c r="A25" s="6" t="n">
        <v>19</v>
      </c>
      <c r="B25" s="7" t="inlineStr">
        <is>
          <t>Centrium Square</t>
        </is>
      </c>
      <c r="C25" s="6" t="inlineStr">
        <is>
          <t>D08</t>
        </is>
      </c>
      <c r="D25" s="7" t="inlineStr">
        <is>
          <t>Farrer Park / Serangoon Road</t>
        </is>
      </c>
      <c r="E25" s="6" t="inlineStr">
        <is>
          <t>RCR</t>
        </is>
      </c>
      <c r="F25" s="7" t="inlineStr">
        <is>
          <t>320 Serangoon Road</t>
        </is>
      </c>
      <c r="G25" s="6" t="inlineStr">
        <is>
          <t>Freehold</t>
        </is>
      </c>
      <c r="H25" s="7" t="inlineStr">
        <is>
          <t>Feature Development Pte Ltd</t>
        </is>
      </c>
      <c r="I25" s="8" t="n">
        <v>231</v>
      </c>
      <c r="J25" s="8" t="n">
        <v>1</v>
      </c>
      <c r="K25" s="6" t="inlineStr">
        <is>
          <t>2016-01-31</t>
        </is>
      </c>
      <c r="L25" s="6" t="inlineStr">
        <is>
          <t>2020-05-31</t>
        </is>
      </c>
      <c r="M25" s="7" t="inlineStr">
        <is>
          <t>Schematic layout</t>
        </is>
      </c>
      <c r="N25" s="6" t="inlineStr">
        <is>
          <t>885368e74a04434e9b3b946641dcbc34</t>
        </is>
      </c>
      <c r="O25" s="9" t="n"/>
      <c r="P25" s="9" t="n"/>
      <c r="Q25" s="10" t="n"/>
    </row>
    <row r="26">
      <c r="A26" s="6" t="n">
        <v>20</v>
      </c>
      <c r="B26" s="7" t="inlineStr">
        <is>
          <t>Chancery Hill Collection</t>
        </is>
      </c>
      <c r="C26" s="6" t="inlineStr">
        <is>
          <t>D11</t>
        </is>
      </c>
      <c r="D26" s="7" t="inlineStr">
        <is>
          <t>Newton / Novena</t>
        </is>
      </c>
      <c r="E26" s="6" t="inlineStr">
        <is>
          <t>CCR</t>
        </is>
      </c>
      <c r="F26" s="7" t="inlineStr">
        <is>
          <t>8, 8A, 10, 10A, 12, 12A Chancery Road
14, 16 Dyson Road</t>
        </is>
      </c>
      <c r="G26" s="6" t="inlineStr">
        <is>
          <t>Freehold</t>
        </is>
      </c>
      <c r="H26" s="7" t="inlineStr">
        <is>
          <t>Sustained Land</t>
        </is>
      </c>
      <c r="I26" s="8" t="n">
        <v>8</v>
      </c>
      <c r="J26" s="8" t="n">
        <v>8</v>
      </c>
      <c r="K26" s="6" t="inlineStr">
        <is>
          <t>2026-07-31</t>
        </is>
      </c>
      <c r="L26" s="6" t="inlineStr">
        <is>
          <t>2028-03-20</t>
        </is>
      </c>
      <c r="M26" s="7" t="inlineStr">
        <is>
          <t>Schematic layout</t>
        </is>
      </c>
      <c r="N26" s="6" t="inlineStr">
        <is>
          <t>dd37874339b244c081bcfa12cafa938d</t>
        </is>
      </c>
      <c r="O26" s="9" t="n"/>
      <c r="P26" s="9" t="n"/>
      <c r="Q26" s="10" t="n"/>
    </row>
    <row r="27">
      <c r="A27" s="6" t="n">
        <v>21</v>
      </c>
      <c r="B27" s="7" t="inlineStr">
        <is>
          <t>Chencharu Close GLS</t>
        </is>
      </c>
      <c r="C27" s="6" t="inlineStr">
        <is>
          <t>D27</t>
        </is>
      </c>
      <c r="D27" s="7" t="inlineStr">
        <is>
          <t>Sembawang / Yishun</t>
        </is>
      </c>
      <c r="E27" s="6" t="inlineStr">
        <is>
          <t>OCR</t>
        </is>
      </c>
      <c r="F27" s="7" t="inlineStr">
        <is>
          <t>Chencharu Close</t>
        </is>
      </c>
      <c r="G27" s="6" t="inlineStr">
        <is>
          <t>99 Years</t>
        </is>
      </c>
      <c r="H27" s="7" t="inlineStr">
        <is>
          <t>Evia Real Estate / Gamuda Land / Ho Lee Group</t>
        </is>
      </c>
      <c r="I27" s="8" t="n">
        <v>875</v>
      </c>
      <c r="J27" s="8" t="n"/>
      <c r="K27" s="6" t="inlineStr">
        <is>
          <t>2026-12-30</t>
        </is>
      </c>
      <c r="L27" s="6" t="inlineStr">
        <is>
          <t>2029-12-31</t>
        </is>
      </c>
      <c r="M27" s="7" t="inlineStr">
        <is>
          <t>Coming soon (units not released)</t>
        </is>
      </c>
      <c r="N27" s="6" t="inlineStr">
        <is>
          <t>a8dc1c7b80914f65a5c07128aaa9e777</t>
        </is>
      </c>
      <c r="O27" s="9" t="n"/>
      <c r="P27" s="9" t="n"/>
      <c r="Q27" s="10" t="n"/>
    </row>
    <row r="28">
      <c r="A28" s="6" t="n">
        <v>22</v>
      </c>
      <c r="B28" s="7" t="inlineStr">
        <is>
          <t>Chuan Park</t>
        </is>
      </c>
      <c r="C28" s="6" t="inlineStr">
        <is>
          <t>D19</t>
        </is>
      </c>
      <c r="D28" s="7" t="inlineStr">
        <is>
          <t>Hougang / Punggol / Sengkang</t>
        </is>
      </c>
      <c r="E28" s="6" t="inlineStr">
        <is>
          <t>OCR</t>
        </is>
      </c>
      <c r="F28" s="7" t="inlineStr">
        <is>
          <t>Lorong Chuan</t>
        </is>
      </c>
      <c r="G28" s="6" t="inlineStr">
        <is>
          <t>99 Years</t>
        </is>
      </c>
      <c r="H28" s="7" t="inlineStr">
        <is>
          <t>Kingsford Property Development Pte Ltd</t>
        </is>
      </c>
      <c r="I28" s="8" t="n">
        <v>916</v>
      </c>
      <c r="J28" s="8" t="n">
        <v>11</v>
      </c>
      <c r="K28" s="6" t="inlineStr">
        <is>
          <t>2024-11-10</t>
        </is>
      </c>
      <c r="L28" s="6" t="inlineStr">
        <is>
          <t>2027-12-31</t>
        </is>
      </c>
      <c r="M28" s="7" t="inlineStr">
        <is>
          <t>Site plan traced</t>
        </is>
      </c>
      <c r="N28" s="6" t="inlineStr">
        <is>
          <t>eccc7150c2254954a2371b9655eb459c</t>
        </is>
      </c>
      <c r="O28" s="9" t="n"/>
      <c r="P28" s="9" t="n"/>
      <c r="Q28" s="10" t="n"/>
    </row>
    <row r="29">
      <c r="A29" s="6" t="n">
        <v>23</v>
      </c>
      <c r="B29" s="7" t="inlineStr">
        <is>
          <t>Citrine Foodland</t>
        </is>
      </c>
      <c r="C29" s="6" t="inlineStr">
        <is>
          <t>D19</t>
        </is>
      </c>
      <c r="D29" s="7" t="inlineStr">
        <is>
          <t>Hougang / Punggol / Sengkang</t>
        </is>
      </c>
      <c r="E29" s="6" t="inlineStr">
        <is>
          <t>OCR</t>
        </is>
      </c>
      <c r="F29" s="7" t="inlineStr">
        <is>
          <t>33 Kim Chuan Dr</t>
        </is>
      </c>
      <c r="G29" s="6" t="inlineStr">
        <is>
          <t>Freehold</t>
        </is>
      </c>
      <c r="H29" s="7" t="inlineStr">
        <is>
          <t>Goodland Citrine Pte Ltd</t>
        </is>
      </c>
      <c r="I29" s="8" t="n">
        <v>16</v>
      </c>
      <c r="J29" s="8" t="n">
        <v>1</v>
      </c>
      <c r="K29" s="6" t="inlineStr">
        <is>
          <t>2020-03-02</t>
        </is>
      </c>
      <c r="L29" s="6" t="inlineStr">
        <is>
          <t>2023-12-31</t>
        </is>
      </c>
      <c r="M29" s="7" t="inlineStr">
        <is>
          <t>Schematic layout</t>
        </is>
      </c>
      <c r="N29" s="6" t="inlineStr">
        <is>
          <t>57c40296d6474c88806a1fef94655fa4</t>
        </is>
      </c>
      <c r="O29" s="9" t="n"/>
      <c r="P29" s="9" t="n"/>
      <c r="Q29" s="10" t="n"/>
    </row>
    <row r="30">
      <c r="A30" s="6" t="n">
        <v>24</v>
      </c>
      <c r="B30" s="7" t="inlineStr">
        <is>
          <t>Clovelle of Woodlands</t>
        </is>
      </c>
      <c r="C30" s="6" t="inlineStr">
        <is>
          <t>D25</t>
        </is>
      </c>
      <c r="D30" s="7" t="inlineStr">
        <is>
          <t>Admiralty / Woodlands</t>
        </is>
      </c>
      <c r="E30" s="6" t="inlineStr">
        <is>
          <t>OCR</t>
        </is>
      </c>
      <c r="F30" s="7" t="inlineStr">
        <is>
          <t>Woodlands Drive 17</t>
        </is>
      </c>
      <c r="G30" s="6" t="inlineStr">
        <is>
          <t>99 Years</t>
        </is>
      </c>
      <c r="H30" s="7" t="inlineStr">
        <is>
          <t>Sim Lian Group</t>
        </is>
      </c>
      <c r="I30" s="8" t="n">
        <v>570</v>
      </c>
      <c r="J30" s="8" t="n"/>
      <c r="K30" s="6" t="inlineStr">
        <is>
          <t>2027-06-30</t>
        </is>
      </c>
      <c r="L30" s="6" t="inlineStr">
        <is>
          <t>2029-12-31</t>
        </is>
      </c>
      <c r="M30" s="7" t="inlineStr">
        <is>
          <t>Coming soon (units not released)</t>
        </is>
      </c>
      <c r="N30" s="6" t="inlineStr">
        <is>
          <t>679021ecbcab48be90b64e16e77b82b7</t>
        </is>
      </c>
      <c r="O30" s="9" t="n"/>
      <c r="P30" s="9" t="n"/>
      <c r="Q30" s="10" t="n"/>
    </row>
    <row r="31">
      <c r="A31" s="6" t="n">
        <v>25</v>
      </c>
      <c r="B31" s="7" t="inlineStr">
        <is>
          <t>Coastal Cabana</t>
        </is>
      </c>
      <c r="C31" s="6" t="inlineStr">
        <is>
          <t>D17</t>
        </is>
      </c>
      <c r="D31" s="7" t="inlineStr">
        <is>
          <t>Loyang / Changi</t>
        </is>
      </c>
      <c r="E31" s="6" t="inlineStr">
        <is>
          <t>OCR</t>
        </is>
      </c>
      <c r="F31" s="7" t="inlineStr">
        <is>
          <t>BLK 2, 4 , 6, 8, 10,12, 14, 16, 18, 20, 22, 24, 26, 28, 30, 32 Jalan Loyang Besar</t>
        </is>
      </c>
      <c r="G31" s="6" t="inlineStr">
        <is>
          <t>99 years</t>
        </is>
      </c>
      <c r="H31" s="7" t="inlineStr">
        <is>
          <t>Pasir Ris Development Pte Ltd</t>
        </is>
      </c>
      <c r="I31" s="8" t="n">
        <v>748</v>
      </c>
      <c r="J31" s="8" t="n">
        <v>116</v>
      </c>
      <c r="K31" s="6" t="inlineStr">
        <is>
          <t>2026-01-17</t>
        </is>
      </c>
      <c r="L31" s="6" t="inlineStr">
        <is>
          <t>2029-03-31</t>
        </is>
      </c>
      <c r="M31" s="7" t="inlineStr">
        <is>
          <t>Site plan traced</t>
        </is>
      </c>
      <c r="N31" s="6" t="inlineStr">
        <is>
          <t>60dab94999134e819496275b30b239aa</t>
        </is>
      </c>
      <c r="O31" s="9" t="n"/>
      <c r="P31" s="9" t="n"/>
      <c r="Q31" s="10" t="n"/>
    </row>
    <row r="32">
      <c r="A32" s="6" t="n">
        <v>26</v>
      </c>
      <c r="B32" s="7" t="inlineStr">
        <is>
          <t>CT FoodNEX</t>
        </is>
      </c>
      <c r="C32" s="6" t="inlineStr">
        <is>
          <t>D26</t>
        </is>
      </c>
      <c r="D32" s="7" t="inlineStr">
        <is>
          <t>Mandai / Upper Thomson</t>
        </is>
      </c>
      <c r="E32" s="6" t="inlineStr">
        <is>
          <t>OCR</t>
        </is>
      </c>
      <c r="F32" s="7" t="inlineStr">
        <is>
          <t>2A &amp; 2B Mandai Estate</t>
        </is>
      </c>
      <c r="G32" s="6" t="inlineStr">
        <is>
          <t>Freehold</t>
        </is>
      </c>
      <c r="H32" s="7" t="inlineStr">
        <is>
          <t>CT@Mandai Pte Ltd</t>
        </is>
      </c>
      <c r="I32" s="8" t="n">
        <v>110</v>
      </c>
      <c r="J32" s="8" t="n">
        <v>14</v>
      </c>
      <c r="K32" s="6" t="inlineStr">
        <is>
          <t>2023-01-15</t>
        </is>
      </c>
      <c r="L32" s="6" t="inlineStr">
        <is>
          <t>2025-06-30</t>
        </is>
      </c>
      <c r="M32" s="7" t="inlineStr">
        <is>
          <t>Schematic layout</t>
        </is>
      </c>
      <c r="N32" s="6" t="inlineStr">
        <is>
          <t>b136ebee90cf434e9212dc4f115625f9</t>
        </is>
      </c>
      <c r="O32" s="9" t="n"/>
      <c r="P32" s="9" t="n"/>
      <c r="Q32" s="10" t="n"/>
    </row>
    <row r="33">
      <c r="A33" s="6" t="n">
        <v>27</v>
      </c>
      <c r="B33" s="7" t="inlineStr">
        <is>
          <t>CT GOLD @ MACPHERSON</t>
        </is>
      </c>
      <c r="C33" s="6" t="inlineStr">
        <is>
          <t>D13</t>
        </is>
      </c>
      <c r="D33" s="7" t="inlineStr">
        <is>
          <t>Macpherson / Potong Pasir</t>
        </is>
      </c>
      <c r="E33" s="6" t="inlineStr">
        <is>
          <t>RCR</t>
        </is>
      </c>
      <c r="F33" s="7" t="inlineStr">
        <is>
          <t>5 Lor Bakar Batu</t>
        </is>
      </c>
      <c r="G33" s="6" t="inlineStr">
        <is>
          <t>Freehold</t>
        </is>
      </c>
      <c r="H33" s="7" t="inlineStr">
        <is>
          <t>CT Macpherson Pte Ltd (CHIU TENG)</t>
        </is>
      </c>
      <c r="I33" s="8" t="n">
        <v>66</v>
      </c>
      <c r="J33" s="8" t="n">
        <v>1</v>
      </c>
      <c r="K33" s="6" t="inlineStr">
        <is>
          <t>2026-05-01</t>
        </is>
      </c>
      <c r="L33" s="6" t="inlineStr">
        <is>
          <t>2030-11-30</t>
        </is>
      </c>
      <c r="M33" s="7" t="inlineStr">
        <is>
          <t>Site plan traced</t>
        </is>
      </c>
      <c r="N33" s="6" t="inlineStr">
        <is>
          <t>f7aadbfa0e1f4b74a3c19816da50f3e0</t>
        </is>
      </c>
      <c r="O33" s="9" t="n"/>
      <c r="P33" s="9" t="n"/>
      <c r="Q33" s="10" t="n"/>
    </row>
    <row r="34">
      <c r="A34" s="6" t="n">
        <v>28</v>
      </c>
      <c r="B34" s="7" t="inlineStr">
        <is>
          <t>Dairy Farm Walk GLS</t>
        </is>
      </c>
      <c r="C34" s="6" t="inlineStr">
        <is>
          <t>D23</t>
        </is>
      </c>
      <c r="D34" s="7" t="inlineStr">
        <is>
          <t>Bukit Batok / Bukit Panjang</t>
        </is>
      </c>
      <c r="E34" s="6" t="inlineStr">
        <is>
          <t>OCR</t>
        </is>
      </c>
      <c r="F34" s="7" t="inlineStr">
        <is>
          <t>Dairy Farm Walk</t>
        </is>
      </c>
      <c r="G34" s="6" t="inlineStr">
        <is>
          <t>99 Years</t>
        </is>
      </c>
      <c r="H34" s="7" t="inlineStr">
        <is>
          <t>ABR, LWH, Macly &amp; Roxy Pacific</t>
        </is>
      </c>
      <c r="I34" s="8" t="n">
        <v>480</v>
      </c>
      <c r="J34" s="8" t="n"/>
      <c r="K34" s="6" t="inlineStr">
        <is>
          <t>2026-07-31</t>
        </is>
      </c>
      <c r="L34" s="6" t="inlineStr">
        <is>
          <t>2028-10-31</t>
        </is>
      </c>
      <c r="M34" s="7" t="inlineStr">
        <is>
          <t>Coming soon (units not released)</t>
        </is>
      </c>
      <c r="N34" s="6" t="inlineStr">
        <is>
          <t>cf6fa6bd96944f56ae7ea4d8bdb162cd</t>
        </is>
      </c>
      <c r="O34" s="9" t="n"/>
      <c r="P34" s="9" t="n"/>
      <c r="Q34" s="10" t="n"/>
    </row>
    <row r="35">
      <c r="A35" s="6" t="n">
        <v>29</v>
      </c>
      <c r="B35" s="7" t="inlineStr">
        <is>
          <t>Duet @ Emily</t>
        </is>
      </c>
      <c r="C35" s="6" t="inlineStr">
        <is>
          <t>D09</t>
        </is>
      </c>
      <c r="D35" s="7" t="inlineStr">
        <is>
          <t>Orchard / River Valley</t>
        </is>
      </c>
      <c r="E35" s="6" t="inlineStr">
        <is>
          <t>CCR</t>
        </is>
      </c>
      <c r="F35" s="7" t="inlineStr">
        <is>
          <t>2,4,6 Mount Emily Road</t>
        </is>
      </c>
      <c r="G35" s="6" t="inlineStr">
        <is>
          <t>Freehold</t>
        </is>
      </c>
      <c r="H35" s="7" t="inlineStr">
        <is>
          <t>ZACD PROPERTY PTE. LTD.</t>
        </is>
      </c>
      <c r="I35" s="8" t="n">
        <v>20</v>
      </c>
      <c r="J35" s="8" t="n">
        <v>16</v>
      </c>
      <c r="K35" s="6" t="inlineStr">
        <is>
          <t>2026-06-27</t>
        </is>
      </c>
      <c r="L35" s="6" t="inlineStr">
        <is>
          <t>2028-12-31</t>
        </is>
      </c>
      <c r="M35" s="7" t="inlineStr">
        <is>
          <t>Site plan traced</t>
        </is>
      </c>
      <c r="N35" s="6" t="inlineStr">
        <is>
          <t>01f112d7a2474e0683f8adfabe8ce9a0</t>
        </is>
      </c>
      <c r="O35" s="9" t="n"/>
      <c r="P35" s="9" t="n"/>
      <c r="Q35" s="10" t="n"/>
    </row>
    <row r="36">
      <c r="A36" s="6" t="n">
        <v>30</v>
      </c>
      <c r="B36" s="7" t="inlineStr">
        <is>
          <t>Dunearn House .</t>
        </is>
      </c>
      <c r="C36" s="6" t="inlineStr">
        <is>
          <t>D11</t>
        </is>
      </c>
      <c r="D36" s="7" t="inlineStr">
        <is>
          <t>Newton / Novena</t>
        </is>
      </c>
      <c r="E36" s="6" t="inlineStr">
        <is>
          <t>CCR</t>
        </is>
      </c>
      <c r="F36" s="7" t="inlineStr">
        <is>
          <t>760, 762, 766, 768, 770 Dunearn Road, Singapore</t>
        </is>
      </c>
      <c r="G36" s="6" t="inlineStr">
        <is>
          <t>99 Years</t>
        </is>
      </c>
      <c r="H36" s="7" t="inlineStr">
        <is>
          <t>Phoenix Dunearn Pte Ltd</t>
        </is>
      </c>
      <c r="I36" s="8" t="n">
        <v>380</v>
      </c>
      <c r="J36" s="8" t="n">
        <v>142</v>
      </c>
      <c r="K36" s="6" t="inlineStr">
        <is>
          <t>2026-07-25</t>
        </is>
      </c>
      <c r="L36" s="6" t="inlineStr">
        <is>
          <t>2030-12-31</t>
        </is>
      </c>
      <c r="M36" s="7" t="inlineStr">
        <is>
          <t>Site plan traced</t>
        </is>
      </c>
      <c r="N36" s="6" t="inlineStr">
        <is>
          <t>700527d89a91474a8887269b36cb1642</t>
        </is>
      </c>
      <c r="O36" s="9" t="n"/>
      <c r="P36" s="9" t="n"/>
      <c r="Q36" s="10" t="n"/>
    </row>
    <row r="37">
      <c r="A37" s="6" t="n">
        <v>31</v>
      </c>
      <c r="B37" s="7" t="inlineStr">
        <is>
          <t>Eden Residences Capitol</t>
        </is>
      </c>
      <c r="C37" s="6" t="inlineStr">
        <is>
          <t>D06</t>
        </is>
      </c>
      <c r="D37" s="7" t="inlineStr">
        <is>
          <t>City Hall / Clarke Quay</t>
        </is>
      </c>
      <c r="E37" s="6" t="inlineStr">
        <is>
          <t>CCR</t>
        </is>
      </c>
      <c r="F37" s="7" t="inlineStr">
        <is>
          <t>11 STAMFORD ROAD</t>
        </is>
      </c>
      <c r="G37" s="6" t="inlineStr">
        <is>
          <t>99 Years</t>
        </is>
      </c>
      <c r="H37" s="7" t="inlineStr">
        <is>
          <t>Capitol Residential Development Pte. Ltd.</t>
        </is>
      </c>
      <c r="I37" s="8" t="n">
        <v>39</v>
      </c>
      <c r="J37" s="8" t="n">
        <v>1</v>
      </c>
      <c r="K37" s="6" t="inlineStr">
        <is>
          <t>2012-10-31</t>
        </is>
      </c>
      <c r="L37" s="6" t="inlineStr">
        <is>
          <t>2018-03-24</t>
        </is>
      </c>
      <c r="M37" s="7" t="inlineStr">
        <is>
          <t>Schematic layout</t>
        </is>
      </c>
      <c r="N37" s="6" t="inlineStr">
        <is>
          <t>72abedb363474234814fc92c4fd2ea90</t>
        </is>
      </c>
      <c r="O37" s="9" t="n"/>
      <c r="P37" s="9" t="n"/>
      <c r="Q37" s="10" t="n"/>
    </row>
    <row r="38">
      <c r="A38" s="6" t="n">
        <v>32</v>
      </c>
      <c r="B38" s="7" t="inlineStr">
        <is>
          <t>ELTA</t>
        </is>
      </c>
      <c r="C38" s="6" t="inlineStr">
        <is>
          <t>D05</t>
        </is>
      </c>
      <c r="D38" s="7" t="inlineStr">
        <is>
          <t>Buona Vista / West Coast</t>
        </is>
      </c>
      <c r="E38" s="6" t="inlineStr">
        <is>
          <t>OCR</t>
        </is>
      </c>
      <c r="F38" s="7" t="inlineStr">
        <is>
          <t xml:space="preserve">10, 12 Clementi Avenue 1
</t>
        </is>
      </c>
      <c r="G38" s="6" t="inlineStr">
        <is>
          <t>99 Years</t>
        </is>
      </c>
      <c r="H38" s="7" t="inlineStr">
        <is>
          <t>HC Land (Cl ementi ) Pte Ltd (JV betw een M CL Land &amp; CSC Land)</t>
        </is>
      </c>
      <c r="I38" s="8" t="n">
        <v>501</v>
      </c>
      <c r="J38" s="8" t="n">
        <v>76</v>
      </c>
      <c r="K38" s="6" t="inlineStr">
        <is>
          <t>2025-02-22</t>
        </is>
      </c>
      <c r="L38" s="6" t="inlineStr">
        <is>
          <t>2028-03-31</t>
        </is>
      </c>
      <c r="M38" s="7" t="inlineStr">
        <is>
          <t>Site plan traced</t>
        </is>
      </c>
      <c r="N38" s="6" t="inlineStr">
        <is>
          <t>88a853a0ae6443749b7e5f957b8e6480</t>
        </is>
      </c>
      <c r="O38" s="9" t="n"/>
      <c r="P38" s="9" t="n"/>
      <c r="Q38" s="10" t="n"/>
    </row>
    <row r="39">
      <c r="A39" s="6" t="n">
        <v>33</v>
      </c>
      <c r="B39" s="7" t="inlineStr">
        <is>
          <t>Faber Residence</t>
        </is>
      </c>
      <c r="C39" s="6" t="inlineStr">
        <is>
          <t>D05</t>
        </is>
      </c>
      <c r="D39" s="7" t="inlineStr">
        <is>
          <t>Buona Vista / West Coast</t>
        </is>
      </c>
      <c r="E39" s="6" t="inlineStr">
        <is>
          <t>OCR</t>
        </is>
      </c>
      <c r="F39" s="7" t="inlineStr">
        <is>
          <t>54 ,56, 58 ,60 ,62 ,64 ,66 ,68 ,70 Faber Walk</t>
        </is>
      </c>
      <c r="G39" s="6" t="inlineStr">
        <is>
          <t>99 years</t>
        </is>
      </c>
      <c r="H39" s="7" t="inlineStr">
        <is>
          <t>GuocoLand, Hong Leong Holdings and TID</t>
        </is>
      </c>
      <c r="I39" s="8" t="n">
        <v>399</v>
      </c>
      <c r="J39" s="8" t="n">
        <v>13</v>
      </c>
      <c r="K39" s="6" t="inlineStr">
        <is>
          <t>2025-10-18</t>
        </is>
      </c>
      <c r="L39" s="6" t="inlineStr">
        <is>
          <t>2029-03-31</t>
        </is>
      </c>
      <c r="M39" s="7" t="inlineStr">
        <is>
          <t>Site plan traced</t>
        </is>
      </c>
      <c r="N39" s="6" t="inlineStr">
        <is>
          <t>946c32a7bc3c43f6b1df4513a33d371e</t>
        </is>
      </c>
      <c r="O39" s="9" t="n"/>
      <c r="P39" s="9" t="n"/>
      <c r="Q39" s="10" t="n"/>
    </row>
    <row r="40">
      <c r="A40" s="6" t="n">
        <v>34</v>
      </c>
      <c r="B40" s="7" t="inlineStr">
        <is>
          <t>Forett At Bukit Timah</t>
        </is>
      </c>
      <c r="C40" s="6" t="inlineStr">
        <is>
          <t>D21</t>
        </is>
      </c>
      <c r="D40" s="7" t="inlineStr">
        <is>
          <t>Clementi / Upper Bukit Timah</t>
        </is>
      </c>
      <c r="E40" s="6" t="inlineStr">
        <is>
          <t>RCR</t>
        </is>
      </c>
      <c r="F40" s="7" t="inlineStr">
        <is>
          <t>32-40 Toh Tuck Road</t>
        </is>
      </c>
      <c r="G40" s="6" t="inlineStr">
        <is>
          <t>Freehold</t>
        </is>
      </c>
      <c r="H40" s="7" t="inlineStr">
        <is>
          <t>Qingjian Perennial (Bukit Timah) Pte Ltd</t>
        </is>
      </c>
      <c r="I40" s="8" t="n">
        <v>633</v>
      </c>
      <c r="J40" s="8" t="n">
        <v>2</v>
      </c>
      <c r="K40" s="6" t="inlineStr">
        <is>
          <t>2020-08-07</t>
        </is>
      </c>
      <c r="L40" s="6" t="inlineStr">
        <is>
          <t>2024-09-30</t>
        </is>
      </c>
      <c r="M40" s="7" t="inlineStr">
        <is>
          <t>Site plan traced</t>
        </is>
      </c>
      <c r="N40" s="6" t="inlineStr">
        <is>
          <t>3c4e53308b2c48d0bca49a3984e36eaa</t>
        </is>
      </c>
      <c r="O40" s="9" t="n"/>
      <c r="P40" s="9" t="n"/>
      <c r="Q40" s="10" t="n"/>
    </row>
    <row r="41">
      <c r="A41" s="6" t="n">
        <v>35</v>
      </c>
      <c r="B41" s="7" t="inlineStr">
        <is>
          <t>GATE+</t>
        </is>
      </c>
      <c r="C41" s="6" t="inlineStr">
        <is>
          <t>D22</t>
        </is>
      </c>
      <c r="D41" s="7" t="inlineStr">
        <is>
          <t>Boon Lay / Jurong / Tuas</t>
        </is>
      </c>
      <c r="E41" s="6" t="inlineStr">
        <is>
          <t>OCR</t>
        </is>
      </c>
      <c r="F41" s="7" t="inlineStr">
        <is>
          <t>TBA - Tukang Innovation Drive (Plot A)</t>
        </is>
      </c>
      <c r="G41" s="6" t="inlineStr">
        <is>
          <t>33 years Leasehold</t>
        </is>
      </c>
      <c r="H41" s="7" t="inlineStr">
        <is>
          <t>TUKANG PROJECT PTE. LTD. (SLB Development + Boustead)</t>
        </is>
      </c>
      <c r="I41" s="8" t="n">
        <v>268</v>
      </c>
      <c r="J41" s="8" t="n">
        <v>69</v>
      </c>
      <c r="K41" s="6" t="inlineStr">
        <is>
          <t>2026-05-22</t>
        </is>
      </c>
      <c r="L41" s="6" t="inlineStr">
        <is>
          <t>2029-09-30</t>
        </is>
      </c>
      <c r="M41" s="7" t="inlineStr">
        <is>
          <t>Schematic layout</t>
        </is>
      </c>
      <c r="N41" s="6" t="inlineStr">
        <is>
          <t>e6811dbb52f34300b47cbf03d976cbac</t>
        </is>
      </c>
      <c r="O41" s="9" t="n"/>
      <c r="P41" s="9" t="n"/>
      <c r="Q41" s="10" t="n"/>
    </row>
    <row r="42">
      <c r="A42" s="6" t="n">
        <v>36</v>
      </c>
      <c r="B42" s="7" t="inlineStr">
        <is>
          <t>Gems Ville</t>
        </is>
      </c>
      <c r="C42" s="6" t="inlineStr">
        <is>
          <t>D14</t>
        </is>
      </c>
      <c r="D42" s="7" t="inlineStr">
        <is>
          <t>Eunos / Geylang / Paya Lebar</t>
        </is>
      </c>
      <c r="E42" s="6" t="inlineStr">
        <is>
          <t>RCR</t>
        </is>
      </c>
      <c r="F42" s="7" t="inlineStr">
        <is>
          <t>8 Lorong 13 Geylang</t>
        </is>
      </c>
      <c r="G42" s="6" t="inlineStr">
        <is>
          <t>Freehold</t>
        </is>
      </c>
      <c r="H42" s="7" t="inlineStr">
        <is>
          <t>East Asia Geylang Development Pte Ltd</t>
        </is>
      </c>
      <c r="I42" s="8" t="n">
        <v>24</v>
      </c>
      <c r="J42" s="8" t="n">
        <v>10</v>
      </c>
      <c r="K42" s="6" t="inlineStr">
        <is>
          <t>2023-01-31</t>
        </is>
      </c>
      <c r="L42" s="6" t="inlineStr">
        <is>
          <t>2025-06-30</t>
        </is>
      </c>
      <c r="M42" s="7" t="inlineStr">
        <is>
          <t>Site plan traced</t>
        </is>
      </c>
      <c r="N42" s="6" t="inlineStr">
        <is>
          <t>33e2df04dc4b4e3c8bb0d6c780ffdc89</t>
        </is>
      </c>
      <c r="O42" s="9" t="n"/>
      <c r="P42" s="9" t="n"/>
      <c r="Q42" s="10" t="n"/>
    </row>
    <row r="43">
      <c r="A43" s="6" t="n">
        <v>37</v>
      </c>
      <c r="B43" s="7" t="inlineStr">
        <is>
          <t>Gourmet Xchange</t>
        </is>
      </c>
      <c r="C43" s="6" t="inlineStr">
        <is>
          <t>D13</t>
        </is>
      </c>
      <c r="D43" s="7" t="inlineStr">
        <is>
          <t>Macpherson / Potong Pasir</t>
        </is>
      </c>
      <c r="E43" s="6" t="inlineStr">
        <is>
          <t>RCR</t>
        </is>
      </c>
      <c r="F43" s="7" t="inlineStr">
        <is>
          <t>10 Kallang Wy 5</t>
        </is>
      </c>
      <c r="G43" s="6" t="inlineStr">
        <is>
          <t>33 Years</t>
        </is>
      </c>
      <c r="H43" s="7" t="inlineStr">
        <is>
          <t>Capitaland Development</t>
        </is>
      </c>
      <c r="I43" s="8" t="n">
        <v>273</v>
      </c>
      <c r="J43" s="8" t="n">
        <v>41</v>
      </c>
      <c r="K43" s="6" t="inlineStr">
        <is>
          <t>2026-03-13</t>
        </is>
      </c>
      <c r="L43" s="6" t="inlineStr">
        <is>
          <t>2028-03-31</t>
        </is>
      </c>
      <c r="M43" s="7" t="inlineStr">
        <is>
          <t>Schematic layout</t>
        </is>
      </c>
      <c r="N43" s="6" t="inlineStr">
        <is>
          <t>f387d063c6b84ee7837c5c9d4a0582d5</t>
        </is>
      </c>
      <c r="O43" s="9" t="n"/>
      <c r="P43" s="9" t="n"/>
      <c r="Q43" s="10" t="n"/>
    </row>
    <row r="44">
      <c r="A44" s="6" t="n">
        <v>38</v>
      </c>
      <c r="B44" s="7" t="inlineStr">
        <is>
          <t>Grand Dunman</t>
        </is>
      </c>
      <c r="C44" s="6" t="inlineStr">
        <is>
          <t>D15</t>
        </is>
      </c>
      <c r="D44" s="7" t="inlineStr">
        <is>
          <t>East Coast / Marine Parade</t>
        </is>
      </c>
      <c r="E44" s="6" t="inlineStr">
        <is>
          <t>RCR</t>
        </is>
      </c>
      <c r="F44" s="7" t="inlineStr">
        <is>
          <t>2 Dunman Road S439188
6 Dunman Road S439395
8 Dunman Road S439396
10 Dunman Road S439397
12 Dunman Road S439409
16 Dunman Road S438664
18 Dunman Road S438665</t>
        </is>
      </c>
      <c r="G44" s="6" t="inlineStr">
        <is>
          <t>99 Years</t>
        </is>
      </c>
      <c r="H44" s="7" t="inlineStr">
        <is>
          <t>Grand Dunman Pte Ltd</t>
        </is>
      </c>
      <c r="I44" s="8" t="n">
        <v>1008</v>
      </c>
      <c r="J44" s="8" t="n">
        <v>75</v>
      </c>
      <c r="K44" s="6" t="inlineStr">
        <is>
          <t>2023-07-15</t>
        </is>
      </c>
      <c r="L44" s="6" t="inlineStr">
        <is>
          <t>2026-08-31</t>
        </is>
      </c>
      <c r="M44" s="7" t="inlineStr">
        <is>
          <t>Site plan traced</t>
        </is>
      </c>
      <c r="N44" s="6" t="inlineStr">
        <is>
          <t>1430cfcb8f9c4302860203c0f370a169</t>
        </is>
      </c>
      <c r="O44" s="9" t="n"/>
      <c r="P44" s="9" t="n"/>
      <c r="Q44" s="10" t="n"/>
    </row>
    <row r="45">
      <c r="A45" s="6" t="n">
        <v>39</v>
      </c>
      <c r="B45" s="7" t="inlineStr">
        <is>
          <t>Grange 1866</t>
        </is>
      </c>
      <c r="C45" s="6" t="inlineStr">
        <is>
          <t>D10</t>
        </is>
      </c>
      <c r="D45" s="7" t="inlineStr">
        <is>
          <t>Tanglin / Holland</t>
        </is>
      </c>
      <c r="E45" s="6" t="inlineStr">
        <is>
          <t>CCR</t>
        </is>
      </c>
      <c r="F45" s="7" t="inlineStr">
        <is>
          <t>74 Grange Rd</t>
        </is>
      </c>
      <c r="G45" s="6" t="inlineStr">
        <is>
          <t>Freehold</t>
        </is>
      </c>
      <c r="H45" s="7" t="inlineStr">
        <is>
          <t>Grange 1866 Pte Ltd</t>
        </is>
      </c>
      <c r="I45" s="8" t="n">
        <v>60</v>
      </c>
      <c r="J45" s="8" t="n">
        <v>1</v>
      </c>
      <c r="K45" s="6" t="inlineStr">
        <is>
          <t>2021-04-16</t>
        </is>
      </c>
      <c r="L45" s="6" t="inlineStr">
        <is>
          <t>2025-10-31</t>
        </is>
      </c>
      <c r="M45" s="7" t="inlineStr">
        <is>
          <t>Site plan traced</t>
        </is>
      </c>
      <c r="N45" s="6" t="inlineStr">
        <is>
          <t>9e6984905b7540529ae6a9e4e1e959a1</t>
        </is>
      </c>
      <c r="O45" s="9" t="n"/>
      <c r="P45" s="9" t="n"/>
      <c r="Q45" s="10" t="n"/>
    </row>
    <row r="46">
      <c r="A46" s="6" t="n">
        <v>40</v>
      </c>
      <c r="B46" s="7" t="inlineStr">
        <is>
          <t>Harrison Food Building</t>
        </is>
      </c>
      <c r="C46" s="6" t="inlineStr">
        <is>
          <t>D13</t>
        </is>
      </c>
      <c r="D46" s="7" t="inlineStr">
        <is>
          <t>Macpherson / Potong Pasir</t>
        </is>
      </c>
      <c r="E46" s="6" t="inlineStr">
        <is>
          <t>RCR</t>
        </is>
      </c>
      <c r="F46" s="7" t="inlineStr">
        <is>
          <t xml:space="preserve"> 7,9 Harrison Road</t>
        </is>
      </c>
      <c r="G46" s="6" t="inlineStr">
        <is>
          <t>Freehold</t>
        </is>
      </c>
      <c r="H46" s="7" t="inlineStr">
        <is>
          <t>Powermatics Data Systems Ltd</t>
        </is>
      </c>
      <c r="I46" s="8" t="n">
        <v>42</v>
      </c>
      <c r="J46" s="8" t="n">
        <v>26</v>
      </c>
      <c r="K46" s="6" t="inlineStr">
        <is>
          <t>2024-08-31</t>
        </is>
      </c>
      <c r="L46" s="6" t="inlineStr">
        <is>
          <t>2027-03-31</t>
        </is>
      </c>
      <c r="M46" s="7" t="inlineStr">
        <is>
          <t>Schematic layout</t>
        </is>
      </c>
      <c r="N46" s="6" t="inlineStr">
        <is>
          <t>21247817bd51435aa3186d19054e6931</t>
        </is>
      </c>
      <c r="O46" s="9" t="n"/>
      <c r="P46" s="9" t="n"/>
      <c r="Q46" s="10" t="n"/>
    </row>
    <row r="47">
      <c r="A47" s="6" t="n">
        <v>41</v>
      </c>
      <c r="B47" s="7" t="inlineStr">
        <is>
          <t>Hougang Central GLS</t>
        </is>
      </c>
      <c r="C47" s="6" t="inlineStr">
        <is>
          <t>D19</t>
        </is>
      </c>
      <c r="D47" s="7" t="inlineStr">
        <is>
          <t>Hougang / Punggol / Sengkang</t>
        </is>
      </c>
      <c r="E47" s="6" t="inlineStr">
        <is>
          <t>OCR</t>
        </is>
      </c>
      <c r="F47" s="7" t="inlineStr">
        <is>
          <t>Hougang Central</t>
        </is>
      </c>
      <c r="G47" s="6" t="inlineStr">
        <is>
          <t>99 Years</t>
        </is>
      </c>
      <c r="H47" s="7" t="inlineStr">
        <is>
          <t>UOL, Capital Land</t>
        </is>
      </c>
      <c r="I47" s="8" t="n">
        <v>835</v>
      </c>
      <c r="J47" s="8" t="n"/>
      <c r="K47" s="6" t="inlineStr">
        <is>
          <t>2026-07-04</t>
        </is>
      </c>
      <c r="L47" s="6" t="inlineStr">
        <is>
          <t>2029-06-30</t>
        </is>
      </c>
      <c r="M47" s="7" t="inlineStr">
        <is>
          <t>Coming soon (units not released)</t>
        </is>
      </c>
      <c r="N47" s="6" t="inlineStr">
        <is>
          <t>7fc6731e8e4a4121a433521c68998c0c</t>
        </is>
      </c>
      <c r="O47" s="9" t="n"/>
      <c r="P47" s="9" t="n"/>
      <c r="Q47" s="10" t="n"/>
    </row>
    <row r="48">
      <c r="A48" s="6" t="n">
        <v>42</v>
      </c>
      <c r="B48" s="7" t="inlineStr">
        <is>
          <t>Hudson Place Residences</t>
        </is>
      </c>
      <c r="C48" s="6" t="inlineStr">
        <is>
          <t>D05</t>
        </is>
      </c>
      <c r="D48" s="7" t="inlineStr">
        <is>
          <t>Buona Vista / West Coast</t>
        </is>
      </c>
      <c r="E48" s="6" t="inlineStr">
        <is>
          <t>RCR</t>
        </is>
      </c>
      <c r="F48" s="7" t="inlineStr">
        <is>
          <t>18 , 20 Media Circle (Queenstown planning)</t>
        </is>
      </c>
      <c r="G48" s="6" t="inlineStr">
        <is>
          <t>99 years</t>
        </is>
      </c>
      <c r="H48" s="7" t="inlineStr">
        <is>
          <t>Media Circle Alpha Development PteLtd</t>
        </is>
      </c>
      <c r="I48" s="8" t="n">
        <v>327</v>
      </c>
      <c r="J48" s="8" t="n">
        <v>78</v>
      </c>
      <c r="K48" s="6" t="inlineStr">
        <is>
          <t>2026-05-16</t>
        </is>
      </c>
      <c r="L48" s="6" t="inlineStr">
        <is>
          <t>2029-09-30</t>
        </is>
      </c>
      <c r="M48" s="7" t="inlineStr">
        <is>
          <t>Site plan traced</t>
        </is>
      </c>
      <c r="N48" s="6" t="inlineStr">
        <is>
          <t>e80c8fc512304bd7b7969fcf96b00048</t>
        </is>
      </c>
      <c r="O48" s="9" t="n"/>
      <c r="P48" s="9" t="n"/>
      <c r="Q48" s="10" t="n"/>
    </row>
    <row r="49">
      <c r="A49" s="6" t="n">
        <v>43</v>
      </c>
      <c r="B49" s="7" t="inlineStr">
        <is>
          <t>J'den</t>
        </is>
      </c>
      <c r="C49" s="6" t="inlineStr">
        <is>
          <t>D22</t>
        </is>
      </c>
      <c r="D49" s="7" t="inlineStr">
        <is>
          <t>Boon Lay / Jurong / Tuas</t>
        </is>
      </c>
      <c r="E49" s="6" t="inlineStr">
        <is>
          <t>OCR</t>
        </is>
      </c>
      <c r="F49" s="7" t="inlineStr">
        <is>
          <t>2 Jurong East Central 1</t>
        </is>
      </c>
      <c r="G49" s="6" t="inlineStr">
        <is>
          <t>99 Years</t>
        </is>
      </c>
      <c r="H49" s="7" t="inlineStr">
        <is>
          <t>Tanglin R.E Holdings Pte Ltd</t>
        </is>
      </c>
      <c r="I49" s="8" t="n">
        <v>368</v>
      </c>
      <c r="J49" s="8" t="n">
        <v>4</v>
      </c>
      <c r="K49" s="6" t="inlineStr">
        <is>
          <t>2023-11-11</t>
        </is>
      </c>
      <c r="L49" s="6" t="inlineStr">
        <is>
          <t>2028-11-30</t>
        </is>
      </c>
      <c r="M49" s="7" t="inlineStr">
        <is>
          <t>Site plan traced</t>
        </is>
      </c>
      <c r="N49" s="6" t="inlineStr">
        <is>
          <t>b43a59ee25424f54adb7ea7639a7aee5</t>
        </is>
      </c>
      <c r="O49" s="9" t="n"/>
      <c r="P49" s="9" t="n"/>
      <c r="Q49" s="10" t="n"/>
    </row>
    <row r="50">
      <c r="A50" s="6" t="n">
        <v>44</v>
      </c>
      <c r="B50" s="7" t="inlineStr">
        <is>
          <t>Jansen House</t>
        </is>
      </c>
      <c r="C50" s="6" t="inlineStr">
        <is>
          <t>D19</t>
        </is>
      </c>
      <c r="D50" s="7" t="inlineStr">
        <is>
          <t>Hougang / Punggol / Sengkang</t>
        </is>
      </c>
      <c r="E50" s="6" t="inlineStr">
        <is>
          <t>OCR</t>
        </is>
      </c>
      <c r="F50" s="7" t="inlineStr">
        <is>
          <t>25 Jansen Road</t>
        </is>
      </c>
      <c r="G50" s="6" t="inlineStr">
        <is>
          <t>999 Years</t>
        </is>
      </c>
      <c r="H50" s="7" t="inlineStr">
        <is>
          <t>Macly Group</t>
        </is>
      </c>
      <c r="I50" s="8" t="n">
        <v>21</v>
      </c>
      <c r="J50" s="8" t="n">
        <v>1</v>
      </c>
      <c r="K50" s="6" t="inlineStr">
        <is>
          <t>2024-05-04</t>
        </is>
      </c>
      <c r="L50" s="6" t="inlineStr">
        <is>
          <t>2026-03-24</t>
        </is>
      </c>
      <c r="M50" s="7" t="inlineStr">
        <is>
          <t>Site plan traced</t>
        </is>
      </c>
      <c r="N50" s="6" t="inlineStr">
        <is>
          <t>b70f2395f54e4b6b8f8c7d546dd52f21</t>
        </is>
      </c>
      <c r="O50" s="9" t="n"/>
      <c r="P50" s="9" t="n"/>
      <c r="Q50" s="10" t="n"/>
    </row>
    <row r="51">
      <c r="A51" s="6" t="n">
        <v>45</v>
      </c>
      <c r="B51" s="7" t="inlineStr">
        <is>
          <t>Kallang Riverside</t>
        </is>
      </c>
      <c r="C51" s="6" t="inlineStr">
        <is>
          <t>D12</t>
        </is>
      </c>
      <c r="D51" s="7" t="inlineStr">
        <is>
          <t>Balestier / Toa Payoh</t>
        </is>
      </c>
      <c r="E51" s="6" t="inlineStr">
        <is>
          <t>RCR</t>
        </is>
      </c>
      <c r="F51" s="7" t="inlineStr">
        <is>
          <t>51 Kampong Bugis</t>
        </is>
      </c>
      <c r="G51" s="6" t="inlineStr">
        <is>
          <t>Freehold</t>
        </is>
      </c>
      <c r="H51" s="7" t="inlineStr">
        <is>
          <t>Singapore Johore Express Pte Ltd</t>
        </is>
      </c>
      <c r="I51" s="8" t="n">
        <v>212</v>
      </c>
      <c r="J51" s="8" t="n">
        <v>6</v>
      </c>
      <c r="K51" s="6" t="inlineStr">
        <is>
          <t>2017-11-30</t>
        </is>
      </c>
      <c r="L51" s="6" t="inlineStr">
        <is>
          <t>2019-03-30</t>
        </is>
      </c>
      <c r="M51" s="7" t="inlineStr">
        <is>
          <t>Schematic layout</t>
        </is>
      </c>
      <c r="N51" s="6" t="inlineStr">
        <is>
          <t>7b9785ffd7f24586a922236b9df4c34d</t>
        </is>
      </c>
      <c r="O51" s="9" t="n"/>
      <c r="P51" s="9" t="n"/>
      <c r="Q51" s="10" t="n"/>
    </row>
    <row r="52">
      <c r="A52" s="6" t="n">
        <v>46</v>
      </c>
      <c r="B52" s="7" t="inlineStr">
        <is>
          <t>Kassia</t>
        </is>
      </c>
      <c r="C52" s="6" t="inlineStr">
        <is>
          <t>D17</t>
        </is>
      </c>
      <c r="D52" s="7" t="inlineStr">
        <is>
          <t>Loyang / Changi</t>
        </is>
      </c>
      <c r="E52" s="6" t="inlineStr">
        <is>
          <t>OCR</t>
        </is>
      </c>
      <c r="F52" s="7" t="inlineStr">
        <is>
          <t>Flora Drive</t>
        </is>
      </c>
      <c r="G52" s="6" t="inlineStr">
        <is>
          <t>Freehold</t>
        </is>
      </c>
      <c r="H52" s="7" t="inlineStr">
        <is>
          <t>Tripartite Developers Pte. Limited</t>
        </is>
      </c>
      <c r="I52" s="8" t="n">
        <v>276</v>
      </c>
      <c r="J52" s="8" t="n">
        <v>32</v>
      </c>
      <c r="K52" s="6" t="inlineStr">
        <is>
          <t>2024-07-06</t>
        </is>
      </c>
      <c r="L52" s="6" t="inlineStr">
        <is>
          <t>2027-06-30</t>
        </is>
      </c>
      <c r="M52" s="7" t="inlineStr">
        <is>
          <t>Site plan traced</t>
        </is>
      </c>
      <c r="N52" s="6" t="inlineStr">
        <is>
          <t>ad0b6595310b4a0e9bcf1811adab01d1</t>
        </is>
      </c>
      <c r="O52" s="9" t="n"/>
      <c r="P52" s="9" t="n"/>
      <c r="Q52" s="10" t="n"/>
    </row>
    <row r="53">
      <c r="A53" s="6" t="n">
        <v>47</v>
      </c>
      <c r="B53" s="7" t="inlineStr">
        <is>
          <t>Keystone @ Mandai</t>
        </is>
      </c>
      <c r="C53" s="6" t="inlineStr">
        <is>
          <t>D25</t>
        </is>
      </c>
      <c r="D53" s="7" t="inlineStr">
        <is>
          <t>Admiralty / Woodlands</t>
        </is>
      </c>
      <c r="E53" s="6" t="inlineStr">
        <is>
          <t>OCR</t>
        </is>
      </c>
      <c r="F53" s="7" t="inlineStr">
        <is>
          <t>2C Mandai Estate</t>
        </is>
      </c>
      <c r="G53" s="6" t="inlineStr">
        <is>
          <t>Freehold</t>
        </is>
      </c>
      <c r="H53" s="7" t="inlineStr">
        <is>
          <t>Bayswood Pte Ltd</t>
        </is>
      </c>
      <c r="I53" s="8" t="n">
        <v>69</v>
      </c>
      <c r="J53" s="8" t="n">
        <v>51</v>
      </c>
      <c r="K53" s="6" t="inlineStr">
        <is>
          <t>2025-05-16</t>
        </is>
      </c>
      <c r="L53" s="6" t="inlineStr">
        <is>
          <t>2028-12-31</t>
        </is>
      </c>
      <c r="M53" s="7" t="inlineStr">
        <is>
          <t>Schematic layout</t>
        </is>
      </c>
      <c r="N53" s="6" t="inlineStr">
        <is>
          <t>6e09010b103d483cac8ab281bc4a35da</t>
        </is>
      </c>
      <c r="O53" s="9" t="n"/>
      <c r="P53" s="9" t="n"/>
      <c r="Q53" s="10" t="n"/>
    </row>
    <row r="54">
      <c r="A54" s="6" t="n">
        <v>48</v>
      </c>
      <c r="B54" s="7" t="inlineStr">
        <is>
          <t>Kovan Jewel</t>
        </is>
      </c>
      <c r="C54" s="6" t="inlineStr">
        <is>
          <t>D19</t>
        </is>
      </c>
      <c r="D54" s="7" t="inlineStr">
        <is>
          <t>Hougang / Punggol / Sengkang</t>
        </is>
      </c>
      <c r="E54" s="6" t="inlineStr">
        <is>
          <t>OCR</t>
        </is>
      </c>
      <c r="F54" s="7" t="inlineStr">
        <is>
          <t>51 Kovan Road</t>
        </is>
      </c>
      <c r="G54" s="6" t="inlineStr">
        <is>
          <t>Freehold</t>
        </is>
      </c>
      <c r="H54" s="7" t="inlineStr">
        <is>
          <t>Soon Lian Realty Pted Ltd</t>
        </is>
      </c>
      <c r="I54" s="8" t="n">
        <v>34</v>
      </c>
      <c r="J54" s="8" t="n">
        <v>6</v>
      </c>
      <c r="K54" s="6" t="inlineStr">
        <is>
          <t>2022-10-01</t>
        </is>
      </c>
      <c r="L54" s="6" t="inlineStr">
        <is>
          <t>2024-12-31</t>
        </is>
      </c>
      <c r="M54" s="7" t="inlineStr">
        <is>
          <t>Site plan traced</t>
        </is>
      </c>
      <c r="N54" s="6" t="inlineStr">
        <is>
          <t>74375cc798c642e991b052bb63b41961</t>
        </is>
      </c>
      <c r="O54" s="9" t="n"/>
      <c r="P54" s="9" t="n"/>
      <c r="Q54" s="10" t="n"/>
    </row>
    <row r="55">
      <c r="A55" s="6" t="n">
        <v>49</v>
      </c>
      <c r="B55" s="7" t="inlineStr">
        <is>
          <t>Lentor Gardens Residences</t>
        </is>
      </c>
      <c r="C55" s="6" t="inlineStr">
        <is>
          <t>D26</t>
        </is>
      </c>
      <c r="D55" s="7" t="inlineStr">
        <is>
          <t>Mandai / Upper Thomson</t>
        </is>
      </c>
      <c r="E55" s="6" t="inlineStr">
        <is>
          <t>OCR</t>
        </is>
      </c>
      <c r="F55" s="7" t="inlineStr">
        <is>
          <t>66, 68, 70, 72, 74, 76, 78 Lentor Garden</t>
        </is>
      </c>
      <c r="G55" s="6" t="inlineStr">
        <is>
          <t>99 Years</t>
        </is>
      </c>
      <c r="H55" s="7" t="inlineStr">
        <is>
          <t>Kingsford Lentor Pte Ltd</t>
        </is>
      </c>
      <c r="I55" s="8" t="n">
        <v>499</v>
      </c>
      <c r="J55" s="8" t="n">
        <v>189</v>
      </c>
      <c r="K55" s="6" t="inlineStr">
        <is>
          <t>2026-07-18</t>
        </is>
      </c>
      <c r="L55" s="6" t="inlineStr">
        <is>
          <t>2029-09-30</t>
        </is>
      </c>
      <c r="M55" s="7" t="inlineStr">
        <is>
          <t>Site plan traced</t>
        </is>
      </c>
      <c r="N55" s="6" t="inlineStr">
        <is>
          <t>02a030d8f3ca4ed1b2093e94e3b31115</t>
        </is>
      </c>
      <c r="O55" s="9" t="n"/>
      <c r="P55" s="9" t="n"/>
      <c r="Q55" s="10" t="n"/>
    </row>
    <row r="56">
      <c r="A56" s="6" t="n">
        <v>50</v>
      </c>
      <c r="B56" s="7" t="inlineStr">
        <is>
          <t>Lentoria</t>
        </is>
      </c>
      <c r="C56" s="6" t="inlineStr">
        <is>
          <t>D26</t>
        </is>
      </c>
      <c r="D56" s="7" t="inlineStr">
        <is>
          <t>Mandai / Upper Thomson</t>
        </is>
      </c>
      <c r="E56" s="6" t="inlineStr">
        <is>
          <t>OCR</t>
        </is>
      </c>
      <c r="F56" s="7" t="inlineStr">
        <is>
          <t>32 , 36 , 38 Lentor Hills Road,</t>
        </is>
      </c>
      <c r="G56" s="6" t="inlineStr">
        <is>
          <t>99 Years</t>
        </is>
      </c>
      <c r="H56" s="7" t="inlineStr">
        <is>
          <t>Lentor View Pte Ltd</t>
        </is>
      </c>
      <c r="I56" s="8" t="n">
        <v>267</v>
      </c>
      <c r="J56" s="8" t="n">
        <v>14</v>
      </c>
      <c r="K56" s="6" t="inlineStr">
        <is>
          <t>2024-03-02</t>
        </is>
      </c>
      <c r="L56" s="6" t="inlineStr">
        <is>
          <t>2027-06-30</t>
        </is>
      </c>
      <c r="M56" s="7" t="inlineStr">
        <is>
          <t>Site plan traced</t>
        </is>
      </c>
      <c r="N56" s="6" t="inlineStr">
        <is>
          <t>e0d7efea415743a79d08cda8de572c09</t>
        </is>
      </c>
      <c r="O56" s="9" t="n"/>
      <c r="P56" s="9" t="n"/>
      <c r="Q56" s="10" t="n"/>
    </row>
    <row r="57">
      <c r="A57" s="6" t="n">
        <v>51</v>
      </c>
      <c r="B57" s="7" t="inlineStr">
        <is>
          <t>Lloyd SixtyFive</t>
        </is>
      </c>
      <c r="C57" s="6" t="inlineStr">
        <is>
          <t>D09</t>
        </is>
      </c>
      <c r="D57" s="7" t="inlineStr">
        <is>
          <t>Orchard / River Valley</t>
        </is>
      </c>
      <c r="E57" s="6" t="inlineStr">
        <is>
          <t>CCR</t>
        </is>
      </c>
      <c r="F57" s="7" t="inlineStr">
        <is>
          <t>65 Lloyd Road</t>
        </is>
      </c>
      <c r="G57" s="6" t="inlineStr">
        <is>
          <t>Freehold</t>
        </is>
      </c>
      <c r="H57" s="7" t="inlineStr">
        <is>
          <t>TG (2010) Pte Ltd</t>
        </is>
      </c>
      <c r="I57" s="8" t="n">
        <v>76</v>
      </c>
      <c r="J57" s="8" t="n">
        <v>2</v>
      </c>
      <c r="K57" s="6" t="inlineStr">
        <is>
          <t>2012-10-17</t>
        </is>
      </c>
      <c r="L57" s="6" t="inlineStr">
        <is>
          <t>2017-12-31</t>
        </is>
      </c>
      <c r="M57" s="7" t="inlineStr">
        <is>
          <t>Site plan traced</t>
        </is>
      </c>
      <c r="N57" s="6" t="inlineStr">
        <is>
          <t>7c16f58f4e8f4474b1e37f70bb57b236</t>
        </is>
      </c>
      <c r="O57" s="9" t="n"/>
      <c r="P57" s="9" t="n"/>
      <c r="Q57" s="10" t="n"/>
    </row>
    <row r="58">
      <c r="A58" s="6" t="n">
        <v>52</v>
      </c>
      <c r="B58" s="7" t="inlineStr">
        <is>
          <t>Lucerne Grand</t>
        </is>
      </c>
      <c r="C58" s="6" t="inlineStr">
        <is>
          <t>D22</t>
        </is>
      </c>
      <c r="D58" s="7" t="inlineStr">
        <is>
          <t>Boon Lay / Jurong / Tuas</t>
        </is>
      </c>
      <c r="E58" s="6" t="inlineStr">
        <is>
          <t>OCR</t>
        </is>
      </c>
      <c r="F58" s="7" t="inlineStr">
        <is>
          <t>30, 32, 34, 36, 38 Lakeside Drive</t>
        </is>
      </c>
      <c r="G58" s="6" t="inlineStr">
        <is>
          <t>99 Years</t>
        </is>
      </c>
      <c r="H58" s="7" t="inlineStr">
        <is>
          <t>CDL Polaris Properties Pte Ltd</t>
        </is>
      </c>
      <c r="I58" s="8" t="n">
        <v>570</v>
      </c>
      <c r="J58" s="8" t="n">
        <v>227</v>
      </c>
      <c r="K58" s="6" t="inlineStr">
        <is>
          <t>2026-10-03</t>
        </is>
      </c>
      <c r="L58" s="6" t="inlineStr">
        <is>
          <t>2031-12-07</t>
        </is>
      </c>
      <c r="M58" s="7" t="inlineStr">
        <is>
          <t>Site plan traced</t>
        </is>
      </c>
      <c r="N58" s="6" t="inlineStr">
        <is>
          <t>adf9b59f73ba40cc85938836a28d4037</t>
        </is>
      </c>
      <c r="O58" s="9" t="n"/>
      <c r="P58" s="9" t="n"/>
      <c r="Q58" s="10" t="n"/>
    </row>
    <row r="59">
      <c r="A59" s="6" t="n">
        <v>53</v>
      </c>
      <c r="B59" s="7" t="inlineStr">
        <is>
          <t>Lucida</t>
        </is>
      </c>
      <c r="C59" s="6" t="inlineStr">
        <is>
          <t>D11</t>
        </is>
      </c>
      <c r="D59" s="7" t="inlineStr">
        <is>
          <t>Newton / Novena</t>
        </is>
      </c>
      <c r="E59" s="6" t="inlineStr">
        <is>
          <t>CCR</t>
        </is>
      </c>
      <c r="F59" s="7" t="inlineStr">
        <is>
          <t>2 Suffolk Rd</t>
        </is>
      </c>
      <c r="G59" s="6" t="inlineStr">
        <is>
          <t>Freehold</t>
        </is>
      </c>
      <c r="H59" s="7" t="inlineStr">
        <is>
          <t>Novelty Organisation Pte Ltd</t>
        </is>
      </c>
      <c r="I59" s="8" t="n">
        <v>62</v>
      </c>
      <c r="J59" s="8" t="n">
        <v>1</v>
      </c>
      <c r="K59" s="6" t="inlineStr">
        <is>
          <t>2008-02-28</t>
        </is>
      </c>
      <c r="L59" s="6" t="inlineStr">
        <is>
          <t>2011-12-31</t>
        </is>
      </c>
      <c r="M59" s="7" t="inlineStr">
        <is>
          <t>Schematic layout</t>
        </is>
      </c>
      <c r="N59" s="6" t="inlineStr">
        <is>
          <t>2e12d01c73fc4def9f4926f3221cae27</t>
        </is>
      </c>
      <c r="O59" s="9" t="n"/>
      <c r="P59" s="9" t="n"/>
      <c r="Q59" s="10" t="n"/>
    </row>
    <row r="60">
      <c r="A60" s="6" t="n">
        <v>54</v>
      </c>
      <c r="B60" s="7" t="inlineStr">
        <is>
          <t>Lucky Plaza</t>
        </is>
      </c>
      <c r="C60" s="6" t="inlineStr">
        <is>
          <t>D09</t>
        </is>
      </c>
      <c r="D60" s="7" t="inlineStr">
        <is>
          <t>Orchard / River Valley</t>
        </is>
      </c>
      <c r="E60" s="6" t="inlineStr">
        <is>
          <t>CCR</t>
        </is>
      </c>
      <c r="F60" s="7" t="inlineStr">
        <is>
          <t>304 Orchard Rd, Lucky Plaza</t>
        </is>
      </c>
      <c r="G60" s="6" t="inlineStr">
        <is>
          <t>Freehold</t>
        </is>
      </c>
      <c r="H60" s="7" t="inlineStr">
        <is>
          <t>Far East Organization</t>
        </is>
      </c>
      <c r="I60" s="8" t="n">
        <v>14</v>
      </c>
      <c r="J60" s="8" t="n">
        <v>8</v>
      </c>
      <c r="K60" s="6" t="inlineStr">
        <is>
          <t>1976-12-31</t>
        </is>
      </c>
      <c r="L60" s="6" t="inlineStr">
        <is>
          <t>1979-12-31</t>
        </is>
      </c>
      <c r="M60" s="7" t="inlineStr">
        <is>
          <t>Schematic layout</t>
        </is>
      </c>
      <c r="N60" s="6" t="inlineStr">
        <is>
          <t>7cc8e11b4fa94ab0b26f9ee46133142f</t>
        </is>
      </c>
      <c r="O60" s="9" t="n"/>
      <c r="P60" s="9" t="n"/>
      <c r="Q60" s="10" t="n"/>
    </row>
    <row r="61">
      <c r="A61" s="6" t="n">
        <v>55</v>
      </c>
      <c r="B61" s="7" t="inlineStr">
        <is>
          <t>Lumiere</t>
        </is>
      </c>
      <c r="C61" s="6" t="inlineStr">
        <is>
          <t>D02</t>
        </is>
      </c>
      <c r="D61" s="7" t="inlineStr">
        <is>
          <t>Chinatown / Tanjong Pagar</t>
        </is>
      </c>
      <c r="E61" s="6" t="inlineStr">
        <is>
          <t>CCR</t>
        </is>
      </c>
      <c r="F61" s="7" t="inlineStr">
        <is>
          <t>2 Mistri Rd</t>
        </is>
      </c>
      <c r="G61" s="6" t="inlineStr">
        <is>
          <t>99 Years</t>
        </is>
      </c>
      <c r="H61" s="7" t="inlineStr">
        <is>
          <t>BS Shenton Pte Ltd</t>
        </is>
      </c>
      <c r="I61" s="8" t="n">
        <v>168</v>
      </c>
      <c r="J61" s="8" t="n">
        <v>11</v>
      </c>
      <c r="K61" s="6" t="inlineStr">
        <is>
          <t>2006-12-20</t>
        </is>
      </c>
      <c r="L61" s="6" t="inlineStr">
        <is>
          <t>2010-08-31</t>
        </is>
      </c>
      <c r="M61" s="7" t="inlineStr">
        <is>
          <t>Schematic layout</t>
        </is>
      </c>
      <c r="N61" s="6" t="inlineStr">
        <is>
          <t>cfe2e06d0bbf4406ae9b7a2a31ee5385</t>
        </is>
      </c>
      <c r="O61" s="9" t="n"/>
      <c r="P61" s="9" t="n"/>
      <c r="Q61" s="10" t="n"/>
    </row>
    <row r="62">
      <c r="A62" s="6" t="n">
        <v>56</v>
      </c>
      <c r="B62" s="7" t="inlineStr">
        <is>
          <t>Meyer Blue</t>
        </is>
      </c>
      <c r="C62" s="6" t="inlineStr">
        <is>
          <t>D15</t>
        </is>
      </c>
      <c r="D62" s="7" t="inlineStr">
        <is>
          <t>East Coast / Marine Parade</t>
        </is>
      </c>
      <c r="E62" s="6" t="inlineStr">
        <is>
          <t>RCR</t>
        </is>
      </c>
      <c r="F62" s="7" t="inlineStr">
        <is>
          <t>83 Meyer Road</t>
        </is>
      </c>
      <c r="G62" s="6" t="inlineStr">
        <is>
          <t>Freehold</t>
        </is>
      </c>
      <c r="H62" s="7" t="inlineStr">
        <is>
          <t>United Venture Development(Meyer Blue)Pte. Ltd.</t>
        </is>
      </c>
      <c r="I62" s="8" t="n">
        <v>226</v>
      </c>
      <c r="J62" s="8" t="n">
        <v>47</v>
      </c>
      <c r="K62" s="6" t="inlineStr">
        <is>
          <t>2024-10-05</t>
        </is>
      </c>
      <c r="L62" s="6" t="inlineStr">
        <is>
          <t>2028-12-31</t>
        </is>
      </c>
      <c r="M62" s="7" t="inlineStr">
        <is>
          <t>Site plan traced</t>
        </is>
      </c>
      <c r="N62" s="6" t="inlineStr">
        <is>
          <t>83b9b826f1f0445ca23b38813aea6358</t>
        </is>
      </c>
      <c r="O62" s="9" t="n"/>
      <c r="P62" s="9" t="n"/>
      <c r="Q62" s="10" t="n"/>
    </row>
    <row r="63">
      <c r="A63" s="6" t="n">
        <v>57</v>
      </c>
      <c r="B63" s="7" t="inlineStr">
        <is>
          <t>Midtown Bay</t>
        </is>
      </c>
      <c r="C63" s="6" t="inlineStr">
        <is>
          <t>D07</t>
        </is>
      </c>
      <c r="D63" s="7" t="inlineStr">
        <is>
          <t>Beach Road / Bugis / Rochor</t>
        </is>
      </c>
      <c r="E63" s="6" t="inlineStr">
        <is>
          <t>CCR</t>
        </is>
      </c>
      <c r="F63" s="7" t="inlineStr">
        <is>
          <t>122 Beach Rd</t>
        </is>
      </c>
      <c r="G63" s="6" t="inlineStr">
        <is>
          <t>99 Years</t>
        </is>
      </c>
      <c r="H63" s="7" t="inlineStr">
        <is>
          <t>GuocoLand</t>
        </is>
      </c>
      <c r="I63" s="8" t="n">
        <v>219</v>
      </c>
      <c r="J63" s="8" t="n">
        <v>68</v>
      </c>
      <c r="K63" s="6" t="inlineStr">
        <is>
          <t>2019-10-05</t>
        </is>
      </c>
      <c r="L63" s="6" t="inlineStr">
        <is>
          <t>2024-12-31</t>
        </is>
      </c>
      <c r="M63" s="7" t="inlineStr">
        <is>
          <t>Site plan traced</t>
        </is>
      </c>
      <c r="N63" s="6" t="inlineStr">
        <is>
          <t>0988f8aa42bf469c83868349e1b637b7</t>
        </is>
      </c>
      <c r="O63" s="9" t="n"/>
      <c r="P63" s="9" t="n"/>
      <c r="Q63" s="10" t="n"/>
    </row>
    <row r="64">
      <c r="A64" s="6" t="n">
        <v>58</v>
      </c>
      <c r="B64" s="7" t="inlineStr">
        <is>
          <t>Miltonia Close</t>
        </is>
      </c>
      <c r="C64" s="6" t="inlineStr">
        <is>
          <t>D27</t>
        </is>
      </c>
      <c r="D64" s="7" t="inlineStr">
        <is>
          <t>Sembawang / Yishun</t>
        </is>
      </c>
      <c r="E64" s="6" t="inlineStr">
        <is>
          <t>OCR</t>
        </is>
      </c>
      <c r="F64" s="7" t="inlineStr">
        <is>
          <t>Miltonia Close</t>
        </is>
      </c>
      <c r="G64" s="6" t="inlineStr">
        <is>
          <t>99 Years</t>
        </is>
      </c>
      <c r="H64" s="7" t="inlineStr">
        <is>
          <t>Hoi Hup Realty</t>
        </is>
      </c>
      <c r="I64" s="8" t="n">
        <v>430</v>
      </c>
      <c r="J64" s="8" t="n"/>
      <c r="K64" s="6" t="inlineStr">
        <is>
          <t>2027-09-30</t>
        </is>
      </c>
      <c r="L64" s="6" t="inlineStr">
        <is>
          <t>2029-12-31</t>
        </is>
      </c>
      <c r="M64" s="7" t="inlineStr">
        <is>
          <t>Coming soon (units not released)</t>
        </is>
      </c>
      <c r="N64" s="6" t="inlineStr">
        <is>
          <t>b83a142f417049e58c49b5be22ab0cea</t>
        </is>
      </c>
      <c r="O64" s="9" t="n"/>
      <c r="P64" s="9" t="n"/>
      <c r="Q64" s="10" t="n"/>
    </row>
    <row r="65">
      <c r="A65" s="6" t="n">
        <v>59</v>
      </c>
      <c r="B65" s="7" t="inlineStr">
        <is>
          <t>Narra Residences</t>
        </is>
      </c>
      <c r="C65" s="6" t="inlineStr">
        <is>
          <t>D23</t>
        </is>
      </c>
      <c r="D65" s="7" t="inlineStr">
        <is>
          <t>Bukit Batok / Bukit Panjang</t>
        </is>
      </c>
      <c r="E65" s="6" t="inlineStr">
        <is>
          <t>OCR</t>
        </is>
      </c>
      <c r="F65" s="7" t="inlineStr">
        <is>
          <t>50 Dairy Farm Walk    S(679268) ,  
52 Dairy Farm Walk S(679269),
54 Dairy Farm Walk S(679270),
56 Dairy Farm Walk S(679273),
58 Dairy Farm Walk S(679274),
60 Dairy Farm Walk S(679275),
62 Dairy Farm Walk S(679276),
64 Dairy Farm Walk S(679277)</t>
        </is>
      </c>
      <c r="G65" s="6" t="inlineStr">
        <is>
          <t>99 Years</t>
        </is>
      </c>
      <c r="H65" s="7" t="inlineStr">
        <is>
          <t>Dairy Farm Walk JV Development Pte Ltd</t>
        </is>
      </c>
      <c r="I65" s="8" t="n">
        <v>544</v>
      </c>
      <c r="J65" s="8" t="n">
        <v>312</v>
      </c>
      <c r="K65" s="6" t="inlineStr">
        <is>
          <t>2026-01-31</t>
        </is>
      </c>
      <c r="L65" s="6" t="inlineStr">
        <is>
          <t>2029-03-31</t>
        </is>
      </c>
      <c r="M65" s="7" t="inlineStr">
        <is>
          <t>Site plan traced</t>
        </is>
      </c>
      <c r="N65" s="6" t="inlineStr">
        <is>
          <t>030fee210b074a86a512f1f6cfaf62b6</t>
        </is>
      </c>
      <c r="O65" s="9" t="n"/>
      <c r="P65" s="9" t="n"/>
      <c r="Q65" s="10" t="n"/>
    </row>
    <row r="66">
      <c r="A66" s="6" t="n">
        <v>60</v>
      </c>
      <c r="B66" s="7" t="inlineStr">
        <is>
          <t>Nava Grove</t>
        </is>
      </c>
      <c r="C66" s="6" t="inlineStr">
        <is>
          <t>D21</t>
        </is>
      </c>
      <c r="D66" s="7" t="inlineStr">
        <is>
          <t>Clementi / Upper Bukit Timah</t>
        </is>
      </c>
      <c r="E66" s="6" t="inlineStr">
        <is>
          <t>RCR</t>
        </is>
      </c>
      <c r="F66" s="7" t="inlineStr">
        <is>
          <t xml:space="preserve">38, 40, 42 Pine Grove, Singapore
</t>
        </is>
      </c>
      <c r="G66" s="6" t="inlineStr">
        <is>
          <t>99 Years</t>
        </is>
      </c>
      <c r="H66" s="7" t="inlineStr">
        <is>
          <t>Golden Ray Edge 3 Pte. Ltd.</t>
        </is>
      </c>
      <c r="I66" s="8" t="n">
        <v>552</v>
      </c>
      <c r="J66" s="8" t="n">
        <v>1</v>
      </c>
      <c r="K66" s="6" t="inlineStr">
        <is>
          <t>2024-11-16</t>
        </is>
      </c>
      <c r="L66" s="6" t="inlineStr">
        <is>
          <t>2028-11-14</t>
        </is>
      </c>
      <c r="M66" s="7" t="inlineStr">
        <is>
          <t>Site plan traced</t>
        </is>
      </c>
      <c r="N66" s="6" t="inlineStr">
        <is>
          <t>4a25b483869c44f38fad81c15c945c4f</t>
        </is>
      </c>
      <c r="O66" s="9" t="n"/>
      <c r="P66" s="9" t="n"/>
      <c r="Q66" s="10" t="n"/>
    </row>
    <row r="67">
      <c r="A67" s="6" t="n">
        <v>61</v>
      </c>
      <c r="B67" s="7" t="inlineStr">
        <is>
          <t>Newport Residences</t>
        </is>
      </c>
      <c r="C67" s="6" t="inlineStr">
        <is>
          <t>D02</t>
        </is>
      </c>
      <c r="D67" s="7" t="inlineStr">
        <is>
          <t>Chinatown / Tanjong Pagar</t>
        </is>
      </c>
      <c r="E67" s="6" t="inlineStr">
        <is>
          <t>CCR</t>
        </is>
      </c>
      <c r="F67" s="7" t="inlineStr">
        <is>
          <t>80 Anson Road</t>
        </is>
      </c>
      <c r="G67" s="6" t="inlineStr">
        <is>
          <t>Freehold</t>
        </is>
      </c>
      <c r="H67" s="7" t="inlineStr">
        <is>
          <t>City Developments Limited</t>
        </is>
      </c>
      <c r="I67" s="8" t="n">
        <v>246</v>
      </c>
      <c r="J67" s="8" t="n">
        <v>42</v>
      </c>
      <c r="K67" s="6" t="inlineStr">
        <is>
          <t>2026-01-31</t>
        </is>
      </c>
      <c r="L67" s="6" t="inlineStr">
        <is>
          <t>2027-06-30</t>
        </is>
      </c>
      <c r="M67" s="7" t="inlineStr">
        <is>
          <t>Site plan traced</t>
        </is>
      </c>
      <c r="N67" s="6" t="inlineStr">
        <is>
          <t>89abbcafcb6d4b85a543d4131a5148fb</t>
        </is>
      </c>
      <c r="O67" s="9" t="n"/>
      <c r="P67" s="9" t="n"/>
      <c r="Q67" s="10" t="n"/>
    </row>
    <row r="68">
      <c r="A68" s="6" t="n">
        <v>62</v>
      </c>
      <c r="B68" s="7" t="inlineStr">
        <is>
          <t>Nim Collection</t>
        </is>
      </c>
      <c r="C68" s="6" t="inlineStr">
        <is>
          <t>D28</t>
        </is>
      </c>
      <c r="D68" s="7" t="inlineStr">
        <is>
          <t>Seletar / Yio Chu Kang</t>
        </is>
      </c>
      <c r="E68" s="6" t="inlineStr">
        <is>
          <t>OCR</t>
        </is>
      </c>
      <c r="F68" s="7" t="inlineStr">
        <is>
          <t>Nim Road/Ang Mo Kio Ave 5</t>
        </is>
      </c>
      <c r="G68" s="6" t="inlineStr">
        <is>
          <t>99 Years</t>
        </is>
      </c>
      <c r="H68" s="7" t="inlineStr">
        <is>
          <t>Bukit Sembawang Estates Limited</t>
        </is>
      </c>
      <c r="I68" s="8" t="n">
        <v>98</v>
      </c>
      <c r="J68" s="8" t="n">
        <v>2</v>
      </c>
      <c r="K68" s="6" t="inlineStr">
        <is>
          <t>2018-02-02</t>
        </is>
      </c>
      <c r="L68" s="6" t="inlineStr">
        <is>
          <t>2021-03-31</t>
        </is>
      </c>
      <c r="M68" s="7" t="inlineStr">
        <is>
          <t>Schematic layout</t>
        </is>
      </c>
      <c r="N68" s="6" t="inlineStr">
        <is>
          <t>3d1b906a55a44e178b34efb02f6dd867</t>
        </is>
      </c>
      <c r="O68" s="9" t="n"/>
      <c r="P68" s="9" t="n"/>
      <c r="Q68" s="10" t="n"/>
    </row>
    <row r="69">
      <c r="A69" s="6" t="n">
        <v>63</v>
      </c>
      <c r="B69" s="7" t="inlineStr">
        <is>
          <t>North Gaia</t>
        </is>
      </c>
      <c r="C69" s="6" t="inlineStr">
        <is>
          <t>D27</t>
        </is>
      </c>
      <c r="D69" s="7" t="inlineStr">
        <is>
          <t>Sembawang / Yishun</t>
        </is>
      </c>
      <c r="E69" s="6" t="inlineStr">
        <is>
          <t>OCR</t>
        </is>
      </c>
      <c r="F69" s="7" t="inlineStr">
        <is>
          <t>Yishun Close</t>
        </is>
      </c>
      <c r="G69" s="6" t="inlineStr">
        <is>
          <t>99 Years</t>
        </is>
      </c>
      <c r="H69" s="7" t="inlineStr">
        <is>
          <t>Sing Holdings (Yishun) Pte Ltd.</t>
        </is>
      </c>
      <c r="I69" s="8" t="n">
        <v>616</v>
      </c>
      <c r="J69" s="8" t="n">
        <v>1</v>
      </c>
      <c r="K69" s="6" t="inlineStr">
        <is>
          <t>2022-02-15</t>
        </is>
      </c>
      <c r="L69" s="6" t="inlineStr">
        <is>
          <t>2027-06-30</t>
        </is>
      </c>
      <c r="M69" s="7" t="inlineStr">
        <is>
          <t>Site plan traced</t>
        </is>
      </c>
      <c r="N69" s="6" t="inlineStr">
        <is>
          <t>e2f59c122d1b47af8d9a734fc79fa467</t>
        </is>
      </c>
      <c r="O69" s="9" t="n"/>
      <c r="P69" s="9" t="n"/>
      <c r="Q69" s="10" t="n"/>
    </row>
    <row r="70">
      <c r="A70" s="6" t="n">
        <v>64</v>
      </c>
      <c r="B70" s="7" t="inlineStr">
        <is>
          <t>Norwood Grand</t>
        </is>
      </c>
      <c r="C70" s="6" t="inlineStr">
        <is>
          <t>D25</t>
        </is>
      </c>
      <c r="D70" s="7" t="inlineStr">
        <is>
          <t>Admiralty / Woodlands</t>
        </is>
      </c>
      <c r="E70" s="6" t="inlineStr">
        <is>
          <t>OCR</t>
        </is>
      </c>
      <c r="F70" s="7" t="inlineStr">
        <is>
          <t>2 , 6, 8  and  10 Champions Way</t>
        </is>
      </c>
      <c r="G70" s="6" t="inlineStr">
        <is>
          <t>99 Years</t>
        </is>
      </c>
      <c r="H70" s="7" t="inlineStr">
        <is>
          <t>CDL Stellar Pte. Ltd.</t>
        </is>
      </c>
      <c r="I70" s="8" t="n">
        <v>348</v>
      </c>
      <c r="J70" s="8" t="n">
        <v>18</v>
      </c>
      <c r="K70" s="6" t="inlineStr">
        <is>
          <t>2024-10-19</t>
        </is>
      </c>
      <c r="L70" s="6" t="inlineStr">
        <is>
          <t>2026-08-31</t>
        </is>
      </c>
      <c r="M70" s="7" t="inlineStr">
        <is>
          <t>Site plan traced</t>
        </is>
      </c>
      <c r="N70" s="6" t="inlineStr">
        <is>
          <t>3afb1fde3a244b79bc85e5f39d888ab4</t>
        </is>
      </c>
      <c r="O70" s="9" t="n"/>
      <c r="P70" s="9" t="n"/>
      <c r="Q70" s="10" t="n"/>
    </row>
    <row r="71">
      <c r="A71" s="6" t="n">
        <v>65</v>
      </c>
      <c r="B71" s="7" t="inlineStr">
        <is>
          <t>OCHO</t>
        </is>
      </c>
      <c r="C71" s="6" t="inlineStr">
        <is>
          <t>D14</t>
        </is>
      </c>
      <c r="D71" s="7" t="inlineStr">
        <is>
          <t>Eunos / Geylang / Paya Lebar</t>
        </is>
      </c>
      <c r="E71" s="6" t="inlineStr">
        <is>
          <t>RCR</t>
        </is>
      </c>
      <c r="F71" s="7" t="inlineStr">
        <is>
          <t>27 , Lorong 32 Geylang</t>
        </is>
      </c>
      <c r="G71" s="6" t="inlineStr">
        <is>
          <t>Freehold</t>
        </is>
      </c>
      <c r="H71" s="7" t="inlineStr">
        <is>
          <t>Primest Land V1 Pte Ltd</t>
        </is>
      </c>
      <c r="I71" s="8" t="n">
        <v>20</v>
      </c>
      <c r="J71" s="8" t="n">
        <v>18</v>
      </c>
      <c r="K71" s="6" t="inlineStr">
        <is>
          <t>2025-06-30</t>
        </is>
      </c>
      <c r="L71" s="6" t="inlineStr">
        <is>
          <t>2028-03-31</t>
        </is>
      </c>
      <c r="M71" s="7" t="inlineStr">
        <is>
          <t>Schematic layout</t>
        </is>
      </c>
      <c r="N71" s="6" t="inlineStr">
        <is>
          <t>3cb9360aa52c4c4abca691bbb8e5662d</t>
        </is>
      </c>
      <c r="O71" s="9" t="n"/>
      <c r="P71" s="9" t="n"/>
      <c r="Q71" s="10" t="n"/>
    </row>
    <row r="72">
      <c r="A72" s="6" t="n">
        <v>66</v>
      </c>
      <c r="B72" s="7" t="inlineStr">
        <is>
          <t>One Chuan Grove</t>
        </is>
      </c>
      <c r="C72" s="6" t="inlineStr">
        <is>
          <t>D19</t>
        </is>
      </c>
      <c r="D72" s="7" t="inlineStr">
        <is>
          <t>Hougang / Punggol / Sengkang</t>
        </is>
      </c>
      <c r="E72" s="6" t="inlineStr">
        <is>
          <t>OCR</t>
        </is>
      </c>
      <c r="F72" s="7" t="inlineStr">
        <is>
          <t>Chuan Grove</t>
        </is>
      </c>
      <c r="G72" s="6" t="inlineStr">
        <is>
          <t>99 Years</t>
        </is>
      </c>
      <c r="H72" s="7" t="inlineStr">
        <is>
          <t>Sing Holdings / Sunway Development</t>
        </is>
      </c>
      <c r="I72" s="8" t="n">
        <v>1056</v>
      </c>
      <c r="J72" s="8" t="n"/>
      <c r="K72" s="6" t="inlineStr">
        <is>
          <t>2027-02-27</t>
        </is>
      </c>
      <c r="L72" s="6" t="inlineStr">
        <is>
          <t>2029-12-31</t>
        </is>
      </c>
      <c r="M72" s="7" t="inlineStr">
        <is>
          <t>Coming soon (units not released)</t>
        </is>
      </c>
      <c r="N72" s="6" t="inlineStr">
        <is>
          <t>f12c41ea74b5463a91ff0c84f7481218</t>
        </is>
      </c>
      <c r="O72" s="9" t="n"/>
      <c r="P72" s="9" t="n"/>
      <c r="Q72" s="10" t="n"/>
    </row>
    <row r="73">
      <c r="A73" s="6" t="n">
        <v>67</v>
      </c>
      <c r="B73" s="7" t="inlineStr">
        <is>
          <t>One Marina Gardens</t>
        </is>
      </c>
      <c r="C73" s="6" t="inlineStr">
        <is>
          <t>D01</t>
        </is>
      </c>
      <c r="D73" s="7" t="inlineStr">
        <is>
          <t>Boat Quay / Raffles Place</t>
        </is>
      </c>
      <c r="E73" s="6" t="inlineStr">
        <is>
          <t>RCR</t>
        </is>
      </c>
      <c r="F73" s="7" t="inlineStr">
        <is>
          <t xml:space="preserve">1 ,3, 5 Marina Garden Lane
</t>
        </is>
      </c>
      <c r="G73" s="6" t="inlineStr">
        <is>
          <t>99 Years</t>
        </is>
      </c>
      <c r="H73" s="7" t="inlineStr">
        <is>
          <t>KINGSFORD MARINA DEVELOPMENTLED PTE LTD</t>
        </is>
      </c>
      <c r="I73" s="8" t="n">
        <v>937</v>
      </c>
      <c r="J73" s="8" t="n">
        <v>263</v>
      </c>
      <c r="K73" s="6" t="inlineStr">
        <is>
          <t>2025-04-12</t>
        </is>
      </c>
      <c r="L73" s="6" t="inlineStr">
        <is>
          <t>2029-04-30</t>
        </is>
      </c>
      <c r="M73" s="7" t="inlineStr">
        <is>
          <t>Site plan traced</t>
        </is>
      </c>
      <c r="N73" s="6" t="inlineStr">
        <is>
          <t>b1d78cceab4d4515a1ec7969ccda74b8</t>
        </is>
      </c>
      <c r="O73" s="9" t="n"/>
      <c r="P73" s="9" t="n"/>
      <c r="Q73" s="10" t="n"/>
    </row>
    <row r="74">
      <c r="A74" s="6" t="n">
        <v>68</v>
      </c>
      <c r="B74" s="7" t="inlineStr">
        <is>
          <t>One Sophia</t>
        </is>
      </c>
      <c r="C74" s="6" t="inlineStr">
        <is>
          <t>D09</t>
        </is>
      </c>
      <c r="D74" s="7" t="inlineStr">
        <is>
          <t>Orchard / River Valley</t>
        </is>
      </c>
      <c r="E74" s="6" t="inlineStr">
        <is>
          <t>CCR</t>
        </is>
      </c>
      <c r="F74" s="7" t="inlineStr">
        <is>
          <t xml:space="preserve">1 Sophia Road
</t>
        </is>
      </c>
      <c r="G74" s="6" t="inlineStr">
        <is>
          <t>99 Years</t>
        </is>
      </c>
      <c r="H74" s="7" t="inlineStr">
        <is>
          <t>Sophia Commercial Pte. Ltd. and Sophia Residential Pte. Ltd.</t>
        </is>
      </c>
      <c r="I74" s="8" t="n">
        <v>122</v>
      </c>
      <c r="J74" s="8" t="n">
        <v>83</v>
      </c>
      <c r="K74" s="6" t="inlineStr">
        <is>
          <t>2024-10-19</t>
        </is>
      </c>
      <c r="L74" s="6" t="inlineStr">
        <is>
          <t>2029-12-31</t>
        </is>
      </c>
      <c r="M74" s="7" t="inlineStr">
        <is>
          <t>Site plan traced</t>
        </is>
      </c>
      <c r="N74" s="6" t="inlineStr">
        <is>
          <t>41468c148b10404ba328a64ebc45abdb</t>
        </is>
      </c>
      <c r="O74" s="9" t="n"/>
      <c r="P74" s="9" t="n"/>
      <c r="Q74" s="10" t="n"/>
    </row>
    <row r="75">
      <c r="A75" s="6" t="n">
        <v>69</v>
      </c>
      <c r="B75" s="7" t="inlineStr">
        <is>
          <t>Parksuites</t>
        </is>
      </c>
      <c r="C75" s="6" t="inlineStr">
        <is>
          <t>D10</t>
        </is>
      </c>
      <c r="D75" s="7" t="inlineStr">
        <is>
          <t>Tanglin / Holland</t>
        </is>
      </c>
      <c r="E75" s="6" t="inlineStr">
        <is>
          <t>CCR</t>
        </is>
      </c>
      <c r="F75" s="7" t="inlineStr">
        <is>
          <t>22 Holland Grove Rd</t>
        </is>
      </c>
      <c r="G75" s="6" t="inlineStr">
        <is>
          <t>99 Years</t>
        </is>
      </c>
      <c r="H75" s="7" t="inlineStr">
        <is>
          <t>Far East Organization</t>
        </is>
      </c>
      <c r="I75" s="8" t="n">
        <v>119</v>
      </c>
      <c r="J75" s="8" t="n">
        <v>6</v>
      </c>
      <c r="K75" s="6" t="inlineStr">
        <is>
          <t>2018-11-30</t>
        </is>
      </c>
      <c r="L75" s="6" t="inlineStr">
        <is>
          <t>2023-02-28</t>
        </is>
      </c>
      <c r="M75" s="7" t="inlineStr">
        <is>
          <t>Site plan traced</t>
        </is>
      </c>
      <c r="N75" s="6" t="inlineStr">
        <is>
          <t>cd4698ee608646f28762fcb8bf3b6e42</t>
        </is>
      </c>
      <c r="O75" s="9" t="n"/>
      <c r="P75" s="9" t="n"/>
      <c r="Q75" s="10" t="n"/>
    </row>
    <row r="76">
      <c r="A76" s="6" t="n">
        <v>70</v>
      </c>
      <c r="B76" s="7" t="inlineStr">
        <is>
          <t>Parktown Residence</t>
        </is>
      </c>
      <c r="C76" s="6" t="inlineStr">
        <is>
          <t>D18</t>
        </is>
      </c>
      <c r="D76" s="7" t="inlineStr">
        <is>
          <t>Pasir Ris / Tampines</t>
        </is>
      </c>
      <c r="E76" s="6" t="inlineStr">
        <is>
          <t>OCR</t>
        </is>
      </c>
      <c r="F76" s="7" t="inlineStr">
        <is>
          <t xml:space="preserve">1 , 3 , 5, 7 , 9, 11, 13, 15, 17, 19, 21, 23 Tampines Street 62
</t>
        </is>
      </c>
      <c r="G76" s="6" t="inlineStr">
        <is>
          <t>99 Years</t>
        </is>
      </c>
      <c r="H76" s="7" t="inlineStr">
        <is>
          <t>Topaz Residential Pte. Ltd. &amp; Topaz Commercial Pte.Ltd.</t>
        </is>
      </c>
      <c r="I76" s="8" t="n">
        <v>1193</v>
      </c>
      <c r="J76" s="8" t="n">
        <v>24</v>
      </c>
      <c r="K76" s="6" t="inlineStr">
        <is>
          <t>2025-02-22</t>
        </is>
      </c>
      <c r="L76" s="6" t="inlineStr">
        <is>
          <t>2030-06-30</t>
        </is>
      </c>
      <c r="M76" s="7" t="inlineStr">
        <is>
          <t>Site plan traced</t>
        </is>
      </c>
      <c r="N76" s="6" t="inlineStr">
        <is>
          <t>af5940a962684cb1ac366e1535d1b7a0</t>
        </is>
      </c>
      <c r="O76" s="9" t="n"/>
      <c r="P76" s="9" t="n"/>
      <c r="Q76" s="10" t="n"/>
    </row>
    <row r="77">
      <c r="A77" s="6" t="n">
        <v>71</v>
      </c>
      <c r="B77" s="7" t="inlineStr">
        <is>
          <t>Penrith</t>
        </is>
      </c>
      <c r="C77" s="6" t="inlineStr">
        <is>
          <t>D03</t>
        </is>
      </c>
      <c r="D77" s="7" t="inlineStr">
        <is>
          <t>Alexandra / Commonwealth</t>
        </is>
      </c>
      <c r="E77" s="6" t="inlineStr">
        <is>
          <t>RCR</t>
        </is>
      </c>
      <c r="F77" s="7" t="inlineStr">
        <is>
          <t>70 , 72 Margaret Drive</t>
        </is>
      </c>
      <c r="G77" s="6" t="inlineStr">
        <is>
          <t>99 years</t>
        </is>
      </c>
      <c r="H77" s="7" t="inlineStr">
        <is>
          <t>GuocoLand /
Hong Leong Holdings /
Hong Realty</t>
        </is>
      </c>
      <c r="I77" s="8" t="n">
        <v>462</v>
      </c>
      <c r="J77" s="8" t="n">
        <v>4</v>
      </c>
      <c r="K77" s="6" t="inlineStr">
        <is>
          <t>2025-10-18</t>
        </is>
      </c>
      <c r="L77" s="6" t="inlineStr">
        <is>
          <t>2031-04-01</t>
        </is>
      </c>
      <c r="M77" s="7" t="inlineStr">
        <is>
          <t>Site plan traced</t>
        </is>
      </c>
      <c r="N77" s="6" t="inlineStr">
        <is>
          <t>31378b5622d24478bc68a07ddc399c65</t>
        </is>
      </c>
      <c r="O77" s="9" t="n"/>
      <c r="P77" s="9" t="n"/>
      <c r="Q77" s="10" t="n"/>
    </row>
    <row r="78">
      <c r="A78" s="6" t="n">
        <v>72</v>
      </c>
      <c r="B78" s="7" t="inlineStr">
        <is>
          <t>Pinery Residences</t>
        </is>
      </c>
      <c r="C78" s="6" t="inlineStr">
        <is>
          <t>D18</t>
        </is>
      </c>
      <c r="D78" s="7" t="inlineStr">
        <is>
          <t>Pasir Ris / Tampines</t>
        </is>
      </c>
      <c r="E78" s="6" t="inlineStr">
        <is>
          <t>OCR</t>
        </is>
      </c>
      <c r="F78" s="7" t="inlineStr">
        <is>
          <t xml:space="preserve">920 to 932 Bedok Reservoir Road (Residential),91 Tampines Street 94 (Commercial), </t>
        </is>
      </c>
      <c r="G78" s="6" t="inlineStr">
        <is>
          <t>99 years</t>
        </is>
      </c>
      <c r="H78" s="7" t="inlineStr">
        <is>
          <t>Hoi Hup Sunway Tampines Residential Pte Ltd &amp; Hoi Hup Sunway Tampines Commercial Pte Ltd</t>
        </is>
      </c>
      <c r="I78" s="8" t="n">
        <v>588</v>
      </c>
      <c r="J78" s="8" t="n">
        <v>34</v>
      </c>
      <c r="K78" s="6" t="inlineStr">
        <is>
          <t>2026-03-28</t>
        </is>
      </c>
      <c r="L78" s="6" t="inlineStr">
        <is>
          <t>2030-04-30</t>
        </is>
      </c>
      <c r="M78" s="7" t="inlineStr">
        <is>
          <t>Site plan traced</t>
        </is>
      </c>
      <c r="N78" s="6" t="inlineStr">
        <is>
          <t>eaf892dde8d345e7b8beea79e9851184</t>
        </is>
      </c>
      <c r="O78" s="9" t="n"/>
      <c r="P78" s="9" t="n"/>
      <c r="Q78" s="10" t="n"/>
    </row>
    <row r="79">
      <c r="A79" s="6" t="n">
        <v>73</v>
      </c>
      <c r="B79" s="7" t="inlineStr">
        <is>
          <t>Promenade Peak</t>
        </is>
      </c>
      <c r="C79" s="6" t="inlineStr">
        <is>
          <t>D03</t>
        </is>
      </c>
      <c r="D79" s="7" t="inlineStr">
        <is>
          <t>Alexandra / Commonwealth</t>
        </is>
      </c>
      <c r="E79" s="6" t="inlineStr">
        <is>
          <t>RCR</t>
        </is>
      </c>
      <c r="F79" s="7" t="inlineStr">
        <is>
          <t>1 Zion Promenade</t>
        </is>
      </c>
      <c r="G79" s="6" t="inlineStr">
        <is>
          <t>99 years</t>
        </is>
      </c>
      <c r="H79" s="7" t="inlineStr">
        <is>
          <t>Valerian Residential Pte. Ltd</t>
        </is>
      </c>
      <c r="I79" s="8" t="n">
        <v>596</v>
      </c>
      <c r="J79" s="8" t="n">
        <v>154</v>
      </c>
      <c r="K79" s="6" t="inlineStr">
        <is>
          <t>2025-08-02</t>
        </is>
      </c>
      <c r="L79" s="6" t="inlineStr">
        <is>
          <t>2031-02-06</t>
        </is>
      </c>
      <c r="M79" s="7" t="inlineStr">
        <is>
          <t>Site plan traced</t>
        </is>
      </c>
      <c r="N79" s="6" t="inlineStr">
        <is>
          <t>1917872113dc425797ca4239311a6ee3</t>
        </is>
      </c>
      <c r="O79" s="9" t="n"/>
      <c r="P79" s="9" t="n"/>
      <c r="Q79" s="10" t="n"/>
    </row>
    <row r="80">
      <c r="A80" s="6" t="n">
        <v>74</v>
      </c>
      <c r="B80" s="7" t="inlineStr">
        <is>
          <t>Reignwood Hamilton Scotts</t>
        </is>
      </c>
      <c r="C80" s="6" t="inlineStr">
        <is>
          <t>D09</t>
        </is>
      </c>
      <c r="D80" s="7" t="inlineStr">
        <is>
          <t>Orchard / River Valley</t>
        </is>
      </c>
      <c r="E80" s="6" t="inlineStr">
        <is>
          <t>CCR</t>
        </is>
      </c>
      <c r="F80" s="7" t="inlineStr">
        <is>
          <t>37 Scotts Rd</t>
        </is>
      </c>
      <c r="G80" s="6" t="inlineStr">
        <is>
          <t>Freehold</t>
        </is>
      </c>
      <c r="H80" s="7" t="inlineStr">
        <is>
          <t>Sardinia Properties Pte Ltd</t>
        </is>
      </c>
      <c r="I80" s="8" t="n">
        <v>56</v>
      </c>
      <c r="J80" s="8" t="n">
        <v>7</v>
      </c>
      <c r="K80" s="6" t="inlineStr">
        <is>
          <t>2008-08-08</t>
        </is>
      </c>
      <c r="L80" s="6" t="inlineStr">
        <is>
          <t>2012-06-30</t>
        </is>
      </c>
      <c r="M80" s="7" t="inlineStr">
        <is>
          <t>Site plan traced</t>
        </is>
      </c>
      <c r="N80" s="6" t="inlineStr">
        <is>
          <t>2944874e9285475194bd3209b67643be</t>
        </is>
      </c>
      <c r="O80" s="9" t="n"/>
      <c r="P80" s="9" t="n"/>
      <c r="Q80" s="10" t="n"/>
    </row>
    <row r="81">
      <c r="A81" s="6" t="n">
        <v>75</v>
      </c>
      <c r="B81" s="7" t="inlineStr">
        <is>
          <t>Residences at Emerald Hill</t>
        </is>
      </c>
      <c r="C81" s="6" t="inlineStr">
        <is>
          <t>D09</t>
        </is>
      </c>
      <c r="D81" s="7" t="inlineStr">
        <is>
          <t>Orchard / River Valley</t>
        </is>
      </c>
      <c r="E81" s="6" t="inlineStr">
        <is>
          <t>CCR</t>
        </is>
      </c>
      <c r="F81" s="7" t="inlineStr">
        <is>
          <t>119 Emerald Hill</t>
        </is>
      </c>
      <c r="G81" s="6" t="inlineStr">
        <is>
          <t>Freehold</t>
        </is>
      </c>
      <c r="H81" s="7" t="inlineStr">
        <is>
          <t>LAFE (EMERALD HILL) DEVELOPMENT PTE LTD</t>
        </is>
      </c>
      <c r="I81" s="8" t="n">
        <v>33</v>
      </c>
      <c r="J81" s="8" t="n">
        <v>24</v>
      </c>
      <c r="K81" s="6" t="inlineStr">
        <is>
          <t>2009-07-25</t>
        </is>
      </c>
      <c r="L81" s="6" t="inlineStr">
        <is>
          <t>2012-12-29</t>
        </is>
      </c>
      <c r="M81" s="7" t="inlineStr">
        <is>
          <t>Schematic layout</t>
        </is>
      </c>
      <c r="N81" s="6" t="inlineStr">
        <is>
          <t>3775da0bb0cb4f758d728c5515860644</t>
        </is>
      </c>
      <c r="O81" s="9" t="n"/>
      <c r="P81" s="9" t="n"/>
      <c r="Q81" s="10" t="n"/>
    </row>
    <row r="82">
      <c r="A82" s="6" t="n">
        <v>76</v>
      </c>
      <c r="B82" s="7" t="inlineStr">
        <is>
          <t>River Green</t>
        </is>
      </c>
      <c r="C82" s="6" t="inlineStr">
        <is>
          <t>D09</t>
        </is>
      </c>
      <c r="D82" s="7" t="inlineStr">
        <is>
          <t>Orchard / River Valley</t>
        </is>
      </c>
      <c r="E82" s="6" t="inlineStr">
        <is>
          <t>CCR</t>
        </is>
      </c>
      <c r="F82" s="7" t="inlineStr">
        <is>
          <t>11 River Valley Green</t>
        </is>
      </c>
      <c r="G82" s="6" t="inlineStr">
        <is>
          <t>99 years</t>
        </is>
      </c>
      <c r="H82" s="7" t="inlineStr">
        <is>
          <t>WINCHAMP INVESTMENT PTE LTD</t>
        </is>
      </c>
      <c r="I82" s="8" t="n">
        <v>524</v>
      </c>
      <c r="J82" s="8" t="n">
        <v>27</v>
      </c>
      <c r="K82" s="6" t="inlineStr">
        <is>
          <t>2025-08-02</t>
        </is>
      </c>
      <c r="L82" s="6" t="inlineStr">
        <is>
          <t>2029-03-31</t>
        </is>
      </c>
      <c r="M82" s="7" t="inlineStr">
        <is>
          <t>Site plan traced</t>
        </is>
      </c>
      <c r="N82" s="6" t="inlineStr">
        <is>
          <t>26c7f1c04dfa4e7eba1a830c9cd0b3ab</t>
        </is>
      </c>
      <c r="O82" s="9" t="n"/>
      <c r="P82" s="9" t="n"/>
      <c r="Q82" s="10" t="n"/>
    </row>
    <row r="83">
      <c r="A83" s="6" t="n">
        <v>77</v>
      </c>
      <c r="B83" s="7" t="inlineStr">
        <is>
          <t>River Modern</t>
        </is>
      </c>
      <c r="C83" s="6" t="inlineStr">
        <is>
          <t>D09</t>
        </is>
      </c>
      <c r="D83" s="7" t="inlineStr">
        <is>
          <t>Orchard / River Valley</t>
        </is>
      </c>
      <c r="E83" s="6" t="inlineStr">
        <is>
          <t>CCR</t>
        </is>
      </c>
      <c r="F83" s="7" t="inlineStr">
        <is>
          <t>River Valley Green</t>
        </is>
      </c>
      <c r="G83" s="6" t="inlineStr">
        <is>
          <t>99 years</t>
        </is>
      </c>
      <c r="H83" s="7" t="inlineStr">
        <is>
          <t>River Modern Pte. Ltd. (GuocoLand)</t>
        </is>
      </c>
      <c r="I83" s="8" t="n">
        <v>455</v>
      </c>
      <c r="J83" s="8" t="n">
        <v>22</v>
      </c>
      <c r="K83" s="6" t="inlineStr">
        <is>
          <t>2026-03-07</t>
        </is>
      </c>
      <c r="L83" s="6" t="inlineStr">
        <is>
          <t>2030-06-30</t>
        </is>
      </c>
      <c r="M83" s="7" t="inlineStr">
        <is>
          <t>Site plan traced</t>
        </is>
      </c>
      <c r="N83" s="6" t="inlineStr">
        <is>
          <t>2bf756a1de0c47808e164704cb191232</t>
        </is>
      </c>
      <c r="O83" s="9" t="n"/>
      <c r="P83" s="9" t="n"/>
      <c r="Q83" s="10" t="n"/>
    </row>
    <row r="84">
      <c r="A84" s="6" t="n">
        <v>78</v>
      </c>
      <c r="B84" s="7" t="inlineStr">
        <is>
          <t>Seascape</t>
        </is>
      </c>
      <c r="C84" s="6" t="inlineStr">
        <is>
          <t>D04</t>
        </is>
      </c>
      <c r="D84" s="7" t="inlineStr">
        <is>
          <t>Harbourfront / Telok Blangah</t>
        </is>
      </c>
      <c r="E84" s="6" t="inlineStr">
        <is>
          <t>CCR</t>
        </is>
      </c>
      <c r="F84" s="7" t="inlineStr">
        <is>
          <t>57, 59 Cove Way</t>
        </is>
      </c>
      <c r="G84" s="6" t="inlineStr">
        <is>
          <t>99 Years</t>
        </is>
      </c>
      <c r="H84" s="7" t="inlineStr">
        <is>
          <t>Seaview (Sentosa) Pte Ltd</t>
        </is>
      </c>
      <c r="I84" s="8" t="n">
        <v>151</v>
      </c>
      <c r="J84" s="8" t="n">
        <v>52</v>
      </c>
      <c r="K84" s="6" t="inlineStr">
        <is>
          <t>2010-03-26</t>
        </is>
      </c>
      <c r="L84" s="6" t="inlineStr">
        <is>
          <t>2011-02-25</t>
        </is>
      </c>
      <c r="M84" s="7" t="inlineStr">
        <is>
          <t>Schematic layout</t>
        </is>
      </c>
      <c r="N84" s="6" t="inlineStr">
        <is>
          <t>b68fe53049f5471f9340b8c9d946f7a8</t>
        </is>
      </c>
      <c r="O84" s="9" t="n"/>
      <c r="P84" s="9" t="n"/>
      <c r="Q84" s="10" t="n"/>
    </row>
    <row r="85">
      <c r="A85" s="6" t="n">
        <v>79</v>
      </c>
      <c r="B85" s="7" t="inlineStr">
        <is>
          <t>Sembawang Road GLS</t>
        </is>
      </c>
      <c r="C85" s="6" t="inlineStr">
        <is>
          <t>D27</t>
        </is>
      </c>
      <c r="D85" s="7" t="inlineStr">
        <is>
          <t>Sembawang / Yishun</t>
        </is>
      </c>
      <c r="E85" s="6" t="inlineStr">
        <is>
          <t>OCR</t>
        </is>
      </c>
      <c r="F85" s="7" t="inlineStr">
        <is>
          <t>Sembawang Road</t>
        </is>
      </c>
      <c r="G85" s="6" t="inlineStr">
        <is>
          <t>99 Years</t>
        </is>
      </c>
      <c r="H85" s="7" t="inlineStr">
        <is>
          <t>JBE Holdings</t>
        </is>
      </c>
      <c r="I85" s="8" t="n">
        <v>265</v>
      </c>
      <c r="J85" s="8" t="n"/>
      <c r="K85" s="6" t="inlineStr">
        <is>
          <t>2027-03-31</t>
        </is>
      </c>
      <c r="L85" s="6" t="inlineStr">
        <is>
          <t>2029-12-31</t>
        </is>
      </c>
      <c r="M85" s="7" t="inlineStr">
        <is>
          <t>Coming soon (units not released)</t>
        </is>
      </c>
      <c r="N85" s="6" t="inlineStr">
        <is>
          <t>f62ad7ec239241fa8a8bd10dacaf8291</t>
        </is>
      </c>
      <c r="O85" s="9" t="n"/>
      <c r="P85" s="9" t="n"/>
      <c r="Q85" s="10" t="n"/>
    </row>
    <row r="86">
      <c r="A86" s="6" t="n">
        <v>80</v>
      </c>
      <c r="B86" s="7" t="inlineStr">
        <is>
          <t>Shoppes @ Ascent 456</t>
        </is>
      </c>
      <c r="C86" s="6" t="inlineStr">
        <is>
          <t>D12</t>
        </is>
      </c>
      <c r="D86" s="7" t="inlineStr">
        <is>
          <t>Balestier / Toa Payoh</t>
        </is>
      </c>
      <c r="E86" s="6" t="inlineStr">
        <is>
          <t>CCR</t>
        </is>
      </c>
      <c r="F86" s="7" t="inlineStr">
        <is>
          <t>456 Balestier Road</t>
        </is>
      </c>
      <c r="G86" s="6" t="inlineStr">
        <is>
          <t>Freehold</t>
        </is>
      </c>
      <c r="H86" s="7" t="inlineStr">
        <is>
          <t>Quest Homes Pte Ltd</t>
        </is>
      </c>
      <c r="I86" s="8" t="n">
        <v>16</v>
      </c>
      <c r="J86" s="8" t="n">
        <v>5</v>
      </c>
      <c r="K86" s="6" t="inlineStr">
        <is>
          <t>2013-10-14</t>
        </is>
      </c>
      <c r="L86" s="6" t="inlineStr">
        <is>
          <t>2017-03-10</t>
        </is>
      </c>
      <c r="M86" s="7" t="inlineStr">
        <is>
          <t>Schematic layout</t>
        </is>
      </c>
      <c r="N86" s="6" t="inlineStr">
        <is>
          <t>daa27bcdbfc54e32a8886066a449af7b</t>
        </is>
      </c>
      <c r="O86" s="9" t="n"/>
      <c r="P86" s="9" t="n"/>
      <c r="Q86" s="10" t="n"/>
    </row>
    <row r="87">
      <c r="A87" s="6" t="n">
        <v>81</v>
      </c>
      <c r="B87" s="7" t="inlineStr">
        <is>
          <t>Shoppes @ Sky Eden</t>
        </is>
      </c>
      <c r="C87" s="6" t="inlineStr">
        <is>
          <t>D16</t>
        </is>
      </c>
      <c r="D87" s="7" t="inlineStr">
        <is>
          <t>Bedok / Upper East Coast</t>
        </is>
      </c>
      <c r="E87" s="6" t="inlineStr">
        <is>
          <t>CCR</t>
        </is>
      </c>
      <c r="F87" s="7" t="inlineStr">
        <is>
          <t>1 Bedok Central</t>
        </is>
      </c>
      <c r="G87" s="6" t="inlineStr">
        <is>
          <t>99 years</t>
        </is>
      </c>
      <c r="H87" s="7" t="inlineStr">
        <is>
          <t>The Assembly Place</t>
        </is>
      </c>
      <c r="I87" s="8" t="n">
        <v>12</v>
      </c>
      <c r="J87" s="8" t="n">
        <v>9</v>
      </c>
      <c r="K87" s="6" t="inlineStr">
        <is>
          <t>2022-09-07</t>
        </is>
      </c>
      <c r="L87" s="6" t="inlineStr">
        <is>
          <t>2026-02-28</t>
        </is>
      </c>
      <c r="M87" s="7" t="inlineStr">
        <is>
          <t>Schematic layout</t>
        </is>
      </c>
      <c r="N87" s="6" t="inlineStr">
        <is>
          <t>1ab69a57c2d44e8da17b31af8888315c</t>
        </is>
      </c>
      <c r="O87" s="9" t="n"/>
      <c r="P87" s="9" t="n"/>
      <c r="Q87" s="10" t="n"/>
    </row>
    <row r="88">
      <c r="A88" s="6" t="n">
        <v>82</v>
      </c>
      <c r="B88" s="7" t="inlineStr">
        <is>
          <t>Skies Miltonia</t>
        </is>
      </c>
      <c r="C88" s="6" t="inlineStr">
        <is>
          <t>D27</t>
        </is>
      </c>
      <c r="D88" s="7" t="inlineStr">
        <is>
          <t>Sembawang / Yishun</t>
        </is>
      </c>
      <c r="E88" s="6" t="inlineStr">
        <is>
          <t>OCR</t>
        </is>
      </c>
      <c r="F88" s="7" t="inlineStr">
        <is>
          <t>Yishun Avenue 1 / Miltonia Close</t>
        </is>
      </c>
      <c r="G88" s="6" t="inlineStr">
        <is>
          <t>99 Years</t>
        </is>
      </c>
      <c r="H88" s="7" t="inlineStr">
        <is>
          <t>TG Master Pte Ltd</t>
        </is>
      </c>
      <c r="I88" s="8" t="n">
        <v>420</v>
      </c>
      <c r="J88" s="8" t="n">
        <v>6</v>
      </c>
      <c r="K88" s="6" t="inlineStr">
        <is>
          <t>2012-12-31</t>
        </is>
      </c>
      <c r="L88" s="6" t="inlineStr">
        <is>
          <t>2015-12-31</t>
        </is>
      </c>
      <c r="M88" s="7" t="inlineStr">
        <is>
          <t>Site plan traced</t>
        </is>
      </c>
      <c r="N88" s="6" t="inlineStr">
        <is>
          <t>a49e407ce61345b2b1d462221494bb62</t>
        </is>
      </c>
      <c r="O88" s="9" t="n"/>
      <c r="P88" s="9" t="n"/>
      <c r="Q88" s="10" t="n"/>
    </row>
    <row r="89">
      <c r="A89" s="6" t="n">
        <v>83</v>
      </c>
      <c r="B89" s="7" t="inlineStr">
        <is>
          <t>Skywaters Residences</t>
        </is>
      </c>
      <c r="C89" s="6" t="inlineStr">
        <is>
          <t>D01</t>
        </is>
      </c>
      <c r="D89" s="7" t="inlineStr">
        <is>
          <t>Boat Quay / Raffles Place</t>
        </is>
      </c>
      <c r="E89" s="6" t="inlineStr">
        <is>
          <t>CCR</t>
        </is>
      </c>
      <c r="F89" s="7" t="inlineStr">
        <is>
          <t>8 Shenton Way</t>
        </is>
      </c>
      <c r="G89" s="6" t="inlineStr">
        <is>
          <t>99 Years</t>
        </is>
      </c>
      <c r="H89" s="7" t="inlineStr">
        <is>
          <t>Alibaba Singapore &amp; Perennial Holdings Private Limited</t>
        </is>
      </c>
      <c r="I89" s="8" t="n">
        <v>190</v>
      </c>
      <c r="J89" s="8" t="n"/>
      <c r="K89" s="6" t="inlineStr">
        <is>
          <t>2023-10-14</t>
        </is>
      </c>
      <c r="L89" s="6" t="inlineStr">
        <is>
          <t>2028-03-10</t>
        </is>
      </c>
      <c r="M89" s="7" t="inlineStr">
        <is>
          <t>Coming soon (units not released)</t>
        </is>
      </c>
      <c r="N89" s="6" t="inlineStr">
        <is>
          <t>8bc99f6e4056433e89a47457580df1bc</t>
        </is>
      </c>
      <c r="O89" s="9" t="n"/>
      <c r="P89" s="9" t="n"/>
      <c r="Q89" s="10" t="n"/>
    </row>
    <row r="90">
      <c r="A90" s="6" t="n">
        <v>84</v>
      </c>
      <c r="B90" s="7" t="inlineStr">
        <is>
          <t>Smart Food @ Mandai</t>
        </is>
      </c>
      <c r="C90" s="6" t="inlineStr">
        <is>
          <t>D25</t>
        </is>
      </c>
      <c r="D90" s="7" t="inlineStr">
        <is>
          <t>Admiralty / Woodlands</t>
        </is>
      </c>
      <c r="E90" s="6" t="inlineStr">
        <is>
          <t>OCR</t>
        </is>
      </c>
      <c r="F90" s="7" t="inlineStr">
        <is>
          <t>10 Mandai Estate</t>
        </is>
      </c>
      <c r="G90" s="6" t="inlineStr">
        <is>
          <t>Freehold</t>
        </is>
      </c>
      <c r="H90" s="7" t="inlineStr">
        <is>
          <t>Smartisan Realty Pte Ltd</t>
        </is>
      </c>
      <c r="I90" s="8" t="n">
        <v>84</v>
      </c>
      <c r="J90" s="8" t="n">
        <v>28</v>
      </c>
      <c r="K90" s="6" t="inlineStr">
        <is>
          <t>2024-09-24</t>
        </is>
      </c>
      <c r="L90" s="6" t="inlineStr">
        <is>
          <t>2026-03-31</t>
        </is>
      </c>
      <c r="M90" s="7" t="inlineStr">
        <is>
          <t>Schematic layout</t>
        </is>
      </c>
      <c r="N90" s="6" t="inlineStr">
        <is>
          <t>5c4904dc405d458f90902a897a051092</t>
        </is>
      </c>
      <c r="O90" s="9" t="n"/>
      <c r="P90" s="9" t="n"/>
      <c r="Q90" s="10" t="n"/>
    </row>
    <row r="91">
      <c r="A91" s="6" t="n">
        <v>85</v>
      </c>
      <c r="B91" s="7" t="inlineStr">
        <is>
          <t>Solano Grand</t>
        </is>
      </c>
      <c r="C91" s="6" t="inlineStr">
        <is>
          <t>D23</t>
        </is>
      </c>
      <c r="D91" s="7" t="inlineStr">
        <is>
          <t>Bukit Batok / Bukit Panjang</t>
        </is>
      </c>
      <c r="E91" s="6" t="inlineStr">
        <is>
          <t>OCR</t>
        </is>
      </c>
      <c r="F91" s="7" t="inlineStr">
        <is>
          <t>Senja Close</t>
        </is>
      </c>
      <c r="G91" s="6" t="inlineStr">
        <is>
          <t>99 Years</t>
        </is>
      </c>
      <c r="H91" s="7" t="inlineStr">
        <is>
          <t>CDL</t>
        </is>
      </c>
      <c r="I91" s="8" t="n">
        <v>302</v>
      </c>
      <c r="J91" s="8" t="n"/>
      <c r="K91" s="6" t="inlineStr">
        <is>
          <t>2027-03-31</t>
        </is>
      </c>
      <c r="L91" s="6" t="inlineStr">
        <is>
          <t>2029-12-31</t>
        </is>
      </c>
      <c r="M91" s="7" t="inlineStr">
        <is>
          <t>Coming soon (units not released)</t>
        </is>
      </c>
      <c r="N91" s="6" t="inlineStr">
        <is>
          <t>478f87cc6ca64393bc3aea90f798f484</t>
        </is>
      </c>
      <c r="O91" s="9" t="n"/>
      <c r="P91" s="9" t="n"/>
      <c r="Q91" s="10" t="n"/>
    </row>
    <row r="92">
      <c r="A92" s="6" t="n">
        <v>86</v>
      </c>
      <c r="B92" s="7" t="inlineStr">
        <is>
          <t>Sophia Meadow</t>
        </is>
      </c>
      <c r="C92" s="6" t="inlineStr">
        <is>
          <t>D09</t>
        </is>
      </c>
      <c r="D92" s="7" t="inlineStr">
        <is>
          <t>Orchard / River Valley</t>
        </is>
      </c>
      <c r="E92" s="6" t="inlineStr">
        <is>
          <t>CCR</t>
        </is>
      </c>
      <c r="F92" s="7" t="inlineStr">
        <is>
          <t>132 Sophia Road</t>
        </is>
      </c>
      <c r="G92" s="6" t="inlineStr">
        <is>
          <t>Leasehold</t>
        </is>
      </c>
      <c r="H92" s="7" t="inlineStr">
        <is>
          <t>Sin Thai Hin Development Pte Ltd</t>
        </is>
      </c>
      <c r="I92" s="8" t="n">
        <v>41</v>
      </c>
      <c r="J92" s="8" t="n">
        <v>41</v>
      </c>
      <c r="K92" s="6" t="inlineStr">
        <is>
          <t>2026-08-01</t>
        </is>
      </c>
      <c r="L92" s="6" t="inlineStr">
        <is>
          <t>2029-11-30</t>
        </is>
      </c>
      <c r="M92" s="7" t="inlineStr">
        <is>
          <t>Site plan traced</t>
        </is>
      </c>
      <c r="N92" s="6" t="inlineStr">
        <is>
          <t>eadec74ff2a84a8eb85de08de5bb4664</t>
        </is>
      </c>
      <c r="O92" s="9" t="n"/>
      <c r="P92" s="9" t="n"/>
      <c r="Q92" s="10" t="n"/>
    </row>
    <row r="93">
      <c r="A93" s="6" t="n">
        <v>87</v>
      </c>
      <c r="B93" s="7" t="inlineStr">
        <is>
          <t>Sophia Regency</t>
        </is>
      </c>
      <c r="C93" s="6" t="inlineStr">
        <is>
          <t>D09</t>
        </is>
      </c>
      <c r="D93" s="7" t="inlineStr">
        <is>
          <t>Orchard / River Valley</t>
        </is>
      </c>
      <c r="E93" s="6" t="inlineStr">
        <is>
          <t>CCR</t>
        </is>
      </c>
      <c r="F93" s="7" t="inlineStr">
        <is>
          <t>105 Sophia Rd</t>
        </is>
      </c>
      <c r="G93" s="6" t="inlineStr">
        <is>
          <t>Freehold</t>
        </is>
      </c>
      <c r="H93" s="7" t="inlineStr">
        <is>
          <t>East Asia Sophia Development</t>
        </is>
      </c>
      <c r="I93" s="8" t="n">
        <v>38</v>
      </c>
      <c r="J93" s="8" t="n">
        <v>38</v>
      </c>
      <c r="K93" s="6" t="inlineStr">
        <is>
          <t>2022-11-05</t>
        </is>
      </c>
      <c r="L93" s="6" t="inlineStr">
        <is>
          <t>2025-12-31</t>
        </is>
      </c>
      <c r="M93" s="7" t="inlineStr">
        <is>
          <t>Site plan traced</t>
        </is>
      </c>
      <c r="N93" s="6" t="inlineStr">
        <is>
          <t>53026e42201248c4a7746947767deb5e</t>
        </is>
      </c>
      <c r="O93" s="9" t="n"/>
      <c r="P93" s="9" t="n"/>
      <c r="Q93" s="10" t="n"/>
    </row>
    <row r="94">
      <c r="A94" s="6" t="n">
        <v>88</v>
      </c>
      <c r="B94" s="7" t="inlineStr">
        <is>
          <t>SORA</t>
        </is>
      </c>
      <c r="C94" s="6" t="inlineStr">
        <is>
          <t>D22</t>
        </is>
      </c>
      <c r="D94" s="7" t="inlineStr">
        <is>
          <t>Boon Lay / Jurong / Tuas</t>
        </is>
      </c>
      <c r="E94" s="6" t="inlineStr">
        <is>
          <t>OCR</t>
        </is>
      </c>
      <c r="F94" s="7" t="inlineStr">
        <is>
          <t xml:space="preserve">72 / 74 / 76 / 78 Yuan Ching Road </t>
        </is>
      </c>
      <c r="G94" s="6" t="inlineStr">
        <is>
          <t>99 Years</t>
        </is>
      </c>
      <c r="H94" s="7" t="inlineStr">
        <is>
          <t>Lakeside Residential Pte Ltd</t>
        </is>
      </c>
      <c r="I94" s="8" t="n">
        <v>440</v>
      </c>
      <c r="J94" s="8" t="n">
        <v>200</v>
      </c>
      <c r="K94" s="6" t="inlineStr">
        <is>
          <t>2024-07-06</t>
        </is>
      </c>
      <c r="L94" s="6" t="inlineStr">
        <is>
          <t>2027-12-31</t>
        </is>
      </c>
      <c r="M94" s="7" t="inlineStr">
        <is>
          <t>Site plan traced</t>
        </is>
      </c>
      <c r="N94" s="6" t="inlineStr">
        <is>
          <t>5862d7b906c54440828e1269d19bf2fc</t>
        </is>
      </c>
      <c r="O94" s="9" t="n"/>
      <c r="P94" s="9" t="n"/>
      <c r="Q94" s="10" t="n"/>
    </row>
    <row r="95">
      <c r="A95" s="6" t="n">
        <v>89</v>
      </c>
      <c r="B95" s="7" t="inlineStr">
        <is>
          <t>SPACE NOVA</t>
        </is>
      </c>
      <c r="C95" s="6" t="inlineStr">
        <is>
          <t>D19</t>
        </is>
      </c>
      <c r="D95" s="7" t="inlineStr">
        <is>
          <t>Hougang / Punggol / Sengkang</t>
        </is>
      </c>
      <c r="E95" s="6" t="inlineStr">
        <is>
          <t>RCR</t>
        </is>
      </c>
      <c r="F95" s="7" t="inlineStr">
        <is>
          <t>21 New Industrial Road</t>
        </is>
      </c>
      <c r="G95" s="6" t="inlineStr">
        <is>
          <t>Freehold</t>
        </is>
      </c>
      <c r="H95" s="7" t="inlineStr">
        <is>
          <t>JVA NIR PTE LTD</t>
        </is>
      </c>
      <c r="I95" s="8" t="n">
        <v>47</v>
      </c>
      <c r="J95" s="8" t="n">
        <v>6</v>
      </c>
      <c r="K95" s="6" t="inlineStr">
        <is>
          <t>2026-08-07</t>
        </is>
      </c>
      <c r="L95" s="6" t="inlineStr">
        <is>
          <t>2028-06-30</t>
        </is>
      </c>
      <c r="M95" s="7" t="inlineStr">
        <is>
          <t>Site plan traced</t>
        </is>
      </c>
      <c r="N95" s="6" t="inlineStr">
        <is>
          <t>afac3a972b2949c0be0e89e42e9f2a09</t>
        </is>
      </c>
      <c r="O95" s="9" t="n"/>
      <c r="P95" s="9" t="n"/>
      <c r="Q95" s="10" t="n"/>
    </row>
    <row r="96">
      <c r="A96" s="6" t="n">
        <v>90</v>
      </c>
      <c r="B96" s="7" t="inlineStr">
        <is>
          <t>Springleaf Residence</t>
        </is>
      </c>
      <c r="C96" s="6" t="inlineStr">
        <is>
          <t>D26</t>
        </is>
      </c>
      <c r="D96" s="7" t="inlineStr">
        <is>
          <t>Mandai / Upper Thomson</t>
        </is>
      </c>
      <c r="E96" s="6" t="inlineStr">
        <is>
          <t>OCR</t>
        </is>
      </c>
      <c r="F96" s="7" t="inlineStr">
        <is>
          <t>Blk 811, 813 , 815 , 817, 819, 821 Upper Thomson Road</t>
        </is>
      </c>
      <c r="G96" s="6" t="inlineStr">
        <is>
          <t>99 years</t>
        </is>
      </c>
      <c r="H96" s="7" t="inlineStr">
        <is>
          <t>GuocoLand /
Hong Leong Holdings</t>
        </is>
      </c>
      <c r="I96" s="8" t="n">
        <v>941</v>
      </c>
      <c r="J96" s="8" t="n">
        <v>14</v>
      </c>
      <c r="K96" s="6" t="inlineStr">
        <is>
          <t>2025-08-09</t>
        </is>
      </c>
      <c r="L96" s="6" t="inlineStr">
        <is>
          <t>2029-06-30</t>
        </is>
      </c>
      <c r="M96" s="7" t="inlineStr">
        <is>
          <t>Site plan traced</t>
        </is>
      </c>
      <c r="N96" s="6" t="inlineStr">
        <is>
          <t>997843e71ffa45d08e3f20e2a0fd96ed</t>
        </is>
      </c>
      <c r="O96" s="9" t="n"/>
      <c r="P96" s="9" t="n"/>
      <c r="Q96" s="10" t="n"/>
    </row>
    <row r="97">
      <c r="A97" s="6" t="n">
        <v>91</v>
      </c>
      <c r="B97" s="7" t="inlineStr">
        <is>
          <t>Terra Hill</t>
        </is>
      </c>
      <c r="C97" s="6" t="inlineStr">
        <is>
          <t>D05</t>
        </is>
      </c>
      <c r="D97" s="7" t="inlineStr">
        <is>
          <t>Buona Vista / West Coast</t>
        </is>
      </c>
      <c r="E97" s="6" t="inlineStr">
        <is>
          <t>RCR</t>
        </is>
      </c>
      <c r="F97" s="7" t="inlineStr">
        <is>
          <t>18 , 18A , 18B, 20, 20A, 22, 22A, 22B , 18C Yew Siang Road</t>
        </is>
      </c>
      <c r="G97" s="6" t="inlineStr">
        <is>
          <t>Freehold</t>
        </is>
      </c>
      <c r="H97" s="7" t="inlineStr">
        <is>
          <t>Hoi Hup Sunway Kent Ridge Pte.Ltd.</t>
        </is>
      </c>
      <c r="I97" s="8" t="n">
        <v>270</v>
      </c>
      <c r="J97" s="8" t="n">
        <v>20</v>
      </c>
      <c r="K97" s="6" t="inlineStr">
        <is>
          <t>2023-02-25</t>
        </is>
      </c>
      <c r="L97" s="6" t="inlineStr">
        <is>
          <t>2028-03-31</t>
        </is>
      </c>
      <c r="M97" s="7" t="inlineStr">
        <is>
          <t>Site plan traced</t>
        </is>
      </c>
      <c r="N97" s="6" t="inlineStr">
        <is>
          <t>655c7d587a7943a2b95bed4d0b4bf182</t>
        </is>
      </c>
      <c r="O97" s="9" t="n"/>
      <c r="P97" s="9" t="n"/>
      <c r="Q97" s="10" t="n"/>
    </row>
    <row r="98">
      <c r="A98" s="6" t="n">
        <v>92</v>
      </c>
      <c r="B98" s="7" t="inlineStr">
        <is>
          <t>The Arcady at Boon Keng</t>
        </is>
      </c>
      <c r="C98" s="6" t="inlineStr">
        <is>
          <t>D12</t>
        </is>
      </c>
      <c r="D98" s="7" t="inlineStr">
        <is>
          <t>Balestier / Toa Payoh</t>
        </is>
      </c>
      <c r="E98" s="6" t="inlineStr">
        <is>
          <t>RCR</t>
        </is>
      </c>
      <c r="F98" s="7" t="inlineStr">
        <is>
          <t>1037 Serangoo Rd</t>
        </is>
      </c>
      <c r="G98" s="6" t="inlineStr">
        <is>
          <t>Freehold</t>
        </is>
      </c>
      <c r="H98" s="7" t="inlineStr">
        <is>
          <t>KSH Holdings Ultra Unity(JV)</t>
        </is>
      </c>
      <c r="I98" s="8" t="n">
        <v>172</v>
      </c>
      <c r="J98" s="8" t="n">
        <v>54</v>
      </c>
      <c r="K98" s="6" t="inlineStr">
        <is>
          <t>2024-01-20</t>
        </is>
      </c>
      <c r="L98" s="6" t="inlineStr">
        <is>
          <t>2028-12-31</t>
        </is>
      </c>
      <c r="M98" s="7" t="inlineStr">
        <is>
          <t>Site plan traced</t>
        </is>
      </c>
      <c r="N98" s="6" t="inlineStr">
        <is>
          <t>81f063c801ef487f8a695b825e20c30c</t>
        </is>
      </c>
      <c r="O98" s="9" t="n"/>
      <c r="P98" s="9" t="n"/>
      <c r="Q98" s="10" t="n"/>
    </row>
    <row r="99">
      <c r="A99" s="6" t="n">
        <v>93</v>
      </c>
      <c r="B99" s="7" t="inlineStr">
        <is>
          <t>The Collective At One Sophia</t>
        </is>
      </c>
      <c r="C99" s="6" t="inlineStr">
        <is>
          <t>D09</t>
        </is>
      </c>
      <c r="D99" s="7" t="inlineStr">
        <is>
          <t>Orchard / River Valley</t>
        </is>
      </c>
      <c r="E99" s="6" t="inlineStr">
        <is>
          <t>CCR</t>
        </is>
      </c>
      <c r="F99" s="7" t="inlineStr">
        <is>
          <t>1A &amp; 1B Sophia Road</t>
        </is>
      </c>
      <c r="G99" s="6" t="inlineStr">
        <is>
          <t>99 Years</t>
        </is>
      </c>
      <c r="H99" s="7" t="inlineStr">
        <is>
          <t>Sophia Residential Pte. Ltd.</t>
        </is>
      </c>
      <c r="I99" s="8" t="n">
        <v>367</v>
      </c>
      <c r="J99" s="8" t="n">
        <v>269</v>
      </c>
      <c r="K99" s="6" t="inlineStr">
        <is>
          <t>2025-01-18</t>
        </is>
      </c>
      <c r="L99" s="6" t="inlineStr">
        <is>
          <t>2029-12-31</t>
        </is>
      </c>
      <c r="M99" s="7" t="inlineStr">
        <is>
          <t>Site plan traced</t>
        </is>
      </c>
      <c r="N99" s="6" t="inlineStr">
        <is>
          <t>03c7e19648714d9b88e7002ba6d4c0ec</t>
        </is>
      </c>
      <c r="O99" s="9" t="n"/>
      <c r="P99" s="9" t="n"/>
      <c r="Q99" s="10" t="n"/>
    </row>
    <row r="100">
      <c r="A100" s="6" t="n">
        <v>94</v>
      </c>
      <c r="B100" s="7" t="inlineStr">
        <is>
          <t>The Giverny Residences</t>
        </is>
      </c>
      <c r="C100" s="6" t="inlineStr">
        <is>
          <t>D10</t>
        </is>
      </c>
      <c r="D100" s="7" t="inlineStr">
        <is>
          <t>Tanglin / Holland</t>
        </is>
      </c>
      <c r="E100" s="6" t="inlineStr">
        <is>
          <t>CCR</t>
        </is>
      </c>
      <c r="F100" s="7" t="inlineStr">
        <is>
          <t>6 Robin Drive</t>
        </is>
      </c>
      <c r="G100" s="6" t="inlineStr">
        <is>
          <t>Freehold</t>
        </is>
      </c>
      <c r="H100" s="7" t="inlineStr">
        <is>
          <t>Robin Development Pte.Ltd</t>
        </is>
      </c>
      <c r="I100" s="8" t="n">
        <v>6</v>
      </c>
      <c r="J100" s="8" t="n">
        <v>4</v>
      </c>
      <c r="K100" s="6" t="inlineStr">
        <is>
          <t>2025-12-22</t>
        </is>
      </c>
      <c r="L100" s="6" t="inlineStr">
        <is>
          <t>2026-02-13</t>
        </is>
      </c>
      <c r="M100" s="7" t="inlineStr">
        <is>
          <t>Schematic layout</t>
        </is>
      </c>
      <c r="N100" s="6" t="inlineStr">
        <is>
          <t>47f82c749a9c47bbb84d8d1953f08d45</t>
        </is>
      </c>
      <c r="O100" s="9" t="n"/>
      <c r="P100" s="9" t="n"/>
      <c r="Q100" s="10" t="n"/>
    </row>
    <row r="101">
      <c r="A101" s="6" t="n">
        <v>95</v>
      </c>
      <c r="B101" s="7" t="inlineStr">
        <is>
          <t>The Golden Mile</t>
        </is>
      </c>
      <c r="C101" s="6" t="inlineStr">
        <is>
          <t>D07</t>
        </is>
      </c>
      <c r="D101" s="7" t="inlineStr">
        <is>
          <t>Beach Road / Bugis / Rochor</t>
        </is>
      </c>
      <c r="E101" s="6" t="n"/>
      <c r="F101" s="7" t="inlineStr">
        <is>
          <t>800 Beach Road</t>
        </is>
      </c>
      <c r="G101" s="6" t="inlineStr">
        <is>
          <t>99 Years</t>
        </is>
      </c>
      <c r="H101" s="7" t="inlineStr">
        <is>
          <t>GMC Property Private Limited</t>
        </is>
      </c>
      <c r="I101" s="8" t="n">
        <v>112</v>
      </c>
      <c r="J101" s="8" t="n">
        <v>112</v>
      </c>
      <c r="K101" s="6" t="inlineStr">
        <is>
          <t>2025-02-28</t>
        </is>
      </c>
      <c r="L101" s="6" t="inlineStr">
        <is>
          <t>2029-06-30</t>
        </is>
      </c>
      <c r="M101" s="7" t="inlineStr">
        <is>
          <t>Schematic layout</t>
        </is>
      </c>
      <c r="N101" s="6" t="inlineStr">
        <is>
          <t>e2f907ff467944208e80e85df229b39d</t>
        </is>
      </c>
      <c r="O101" s="9" t="n"/>
      <c r="P101" s="9" t="n"/>
      <c r="Q101" s="10" t="n"/>
    </row>
    <row r="102">
      <c r="A102" s="6" t="n">
        <v>96</v>
      </c>
      <c r="B102" s="7" t="inlineStr">
        <is>
          <t>The Green Collection</t>
        </is>
      </c>
      <c r="C102" s="6" t="inlineStr">
        <is>
          <t>D04</t>
        </is>
      </c>
      <c r="D102" s="7" t="inlineStr">
        <is>
          <t>Harbourfront / Telok Blangah</t>
        </is>
      </c>
      <c r="E102" s="6" t="inlineStr">
        <is>
          <t>CCR</t>
        </is>
      </c>
      <c r="F102" s="7" t="inlineStr">
        <is>
          <t>24-60 Cove Drive</t>
        </is>
      </c>
      <c r="G102" s="6" t="inlineStr">
        <is>
          <t>99 Years</t>
        </is>
      </c>
      <c r="H102" s="7" t="inlineStr">
        <is>
          <t>Green Collection Pte Ltd</t>
        </is>
      </c>
      <c r="I102" s="8" t="n">
        <v>20</v>
      </c>
      <c r="J102" s="8" t="n">
        <v>20</v>
      </c>
      <c r="K102" s="6" t="inlineStr">
        <is>
          <t>2008-02-29</t>
        </is>
      </c>
      <c r="L102" s="6" t="inlineStr">
        <is>
          <t>2013-12-31</t>
        </is>
      </c>
      <c r="M102" s="7" t="inlineStr">
        <is>
          <t>Schematic layout</t>
        </is>
      </c>
      <c r="N102" s="6" t="inlineStr">
        <is>
          <t>27eb97b4b94e47ce8e709d22fe8d4f2c</t>
        </is>
      </c>
      <c r="O102" s="9" t="n"/>
      <c r="P102" s="9" t="n"/>
      <c r="Q102" s="10" t="n"/>
    </row>
    <row r="103">
      <c r="A103" s="6" t="n">
        <v>97</v>
      </c>
      <c r="B103" s="7" t="inlineStr">
        <is>
          <t>The Hillshore</t>
        </is>
      </c>
      <c r="C103" s="6" t="inlineStr">
        <is>
          <t>D05</t>
        </is>
      </c>
      <c r="D103" s="7" t="inlineStr">
        <is>
          <t>Buona Vista / West Coast</t>
        </is>
      </c>
      <c r="E103" s="6" t="inlineStr">
        <is>
          <t>RCR</t>
        </is>
      </c>
      <c r="F103" s="7" t="inlineStr">
        <is>
          <t>292 Pasir Panjang Road</t>
        </is>
      </c>
      <c r="G103" s="6" t="inlineStr">
        <is>
          <t>Freehold</t>
        </is>
      </c>
      <c r="H103" s="7" t="inlineStr">
        <is>
          <t>Hillside View Development Pte Ltd</t>
        </is>
      </c>
      <c r="I103" s="8" t="n">
        <v>59</v>
      </c>
      <c r="J103" s="8" t="n">
        <v>42</v>
      </c>
      <c r="K103" s="6" t="inlineStr">
        <is>
          <t>2024-04-20</t>
        </is>
      </c>
      <c r="L103" s="6" t="inlineStr">
        <is>
          <t>2027-09-30</t>
        </is>
      </c>
      <c r="M103" s="7" t="inlineStr">
        <is>
          <t>Site plan traced</t>
        </is>
      </c>
      <c r="N103" s="6" t="inlineStr">
        <is>
          <t>deac97981cbc41baab577f9cf9f03f33</t>
        </is>
      </c>
      <c r="O103" s="9" t="n"/>
      <c r="P103" s="9" t="n"/>
      <c r="Q103" s="10" t="n"/>
    </row>
    <row r="104">
      <c r="A104" s="6" t="n">
        <v>98</v>
      </c>
      <c r="B104" s="7" t="inlineStr">
        <is>
          <t>The Line @ Tanjong Rhu</t>
        </is>
      </c>
      <c r="C104" s="6" t="inlineStr">
        <is>
          <t>D15</t>
        </is>
      </c>
      <c r="D104" s="7" t="inlineStr">
        <is>
          <t>East Coast / Marine Parade</t>
        </is>
      </c>
      <c r="E104" s="6" t="inlineStr">
        <is>
          <t>RCR</t>
        </is>
      </c>
      <c r="F104" s="7" t="inlineStr">
        <is>
          <t>6 Tanjong Rhu Road</t>
        </is>
      </c>
      <c r="G104" s="6" t="inlineStr">
        <is>
          <t>Freehold</t>
        </is>
      </c>
      <c r="H104" s="7" t="inlineStr">
        <is>
          <t>Lakeview Investments Pte Ltd</t>
        </is>
      </c>
      <c r="I104" s="8" t="n">
        <v>130</v>
      </c>
      <c r="J104" s="8" t="n">
        <v>5</v>
      </c>
      <c r="K104" s="6" t="inlineStr">
        <is>
          <t>2012-08-16</t>
        </is>
      </c>
      <c r="L104" s="6" t="inlineStr">
        <is>
          <t>2017-03-18</t>
        </is>
      </c>
      <c r="M104" s="7" t="inlineStr">
        <is>
          <t>Site plan traced</t>
        </is>
      </c>
      <c r="N104" s="6" t="inlineStr">
        <is>
          <t>607755ee5f6d4ffebbb1d9d1fbcc252d</t>
        </is>
      </c>
      <c r="O104" s="9" t="n"/>
      <c r="P104" s="9" t="n"/>
      <c r="Q104" s="10" t="n"/>
    </row>
    <row r="105">
      <c r="A105" s="6" t="n">
        <v>99</v>
      </c>
      <c r="B105" s="7" t="inlineStr">
        <is>
          <t>The Lumos</t>
        </is>
      </c>
      <c r="C105" s="6" t="inlineStr">
        <is>
          <t>D09</t>
        </is>
      </c>
      <c r="D105" s="7" t="inlineStr">
        <is>
          <t>Orchard / River Valley</t>
        </is>
      </c>
      <c r="E105" s="6" t="inlineStr">
        <is>
          <t>CCR</t>
        </is>
      </c>
      <c r="F105" s="7" t="inlineStr">
        <is>
          <t>9 Leonie Hill</t>
        </is>
      </c>
      <c r="G105" s="6" t="inlineStr">
        <is>
          <t>Freehold</t>
        </is>
      </c>
      <c r="H105" s="7" t="inlineStr">
        <is>
          <t>Buildhome Pte Ltd</t>
        </is>
      </c>
      <c r="I105" s="8" t="n">
        <v>53</v>
      </c>
      <c r="J105" s="8" t="n">
        <v>20</v>
      </c>
      <c r="K105" s="6" t="inlineStr">
        <is>
          <t>2007-08-07</t>
        </is>
      </c>
      <c r="L105" s="6" t="inlineStr">
        <is>
          <t>2019-03-30</t>
        </is>
      </c>
      <c r="M105" s="7" t="inlineStr">
        <is>
          <t>Schematic layout</t>
        </is>
      </c>
      <c r="N105" s="6" t="inlineStr">
        <is>
          <t>93910c6ae0e449deada6955c5874aafa</t>
        </is>
      </c>
      <c r="O105" s="9" t="n"/>
      <c r="P105" s="9" t="n"/>
      <c r="Q105" s="10" t="n"/>
    </row>
    <row r="106">
      <c r="A106" s="6" t="n">
        <v>100</v>
      </c>
      <c r="B106" s="7" t="inlineStr">
        <is>
          <t>The Myst</t>
        </is>
      </c>
      <c r="C106" s="6" t="inlineStr">
        <is>
          <t>D23</t>
        </is>
      </c>
      <c r="D106" s="7" t="inlineStr">
        <is>
          <t>Bukit Batok / Bukit Panjang</t>
        </is>
      </c>
      <c r="E106" s="6" t="inlineStr">
        <is>
          <t>OCR</t>
        </is>
      </c>
      <c r="F106" s="7" t="inlineStr">
        <is>
          <t>800/802 Upper Bukit Timah Road</t>
        </is>
      </c>
      <c r="G106" s="6" t="inlineStr">
        <is>
          <t>99 Years</t>
        </is>
      </c>
      <c r="H106" s="7" t="inlineStr">
        <is>
          <t>CDL Aries Pte. Ltd.</t>
        </is>
      </c>
      <c r="I106" s="8" t="n">
        <v>408</v>
      </c>
      <c r="J106" s="8" t="n">
        <v>7</v>
      </c>
      <c r="K106" s="6" t="inlineStr">
        <is>
          <t>2023-07-08</t>
        </is>
      </c>
      <c r="L106" s="6" t="inlineStr">
        <is>
          <t>2026-09-30</t>
        </is>
      </c>
      <c r="M106" s="7" t="inlineStr">
        <is>
          <t>Site plan traced</t>
        </is>
      </c>
      <c r="N106" s="6" t="inlineStr">
        <is>
          <t>29c864ff55404605890dfbee32692362</t>
        </is>
      </c>
      <c r="O106" s="9" t="n"/>
      <c r="P106" s="9" t="n"/>
      <c r="Q106" s="10" t="n"/>
    </row>
    <row r="107">
      <c r="A107" s="6" t="n">
        <v>101</v>
      </c>
      <c r="B107" s="7" t="inlineStr">
        <is>
          <t>The Oceanfront @ Sentosa Cove</t>
        </is>
      </c>
      <c r="C107" s="6" t="inlineStr">
        <is>
          <t>D04</t>
        </is>
      </c>
      <c r="D107" s="7" t="inlineStr">
        <is>
          <t>Harbourfront / Telok Blangah</t>
        </is>
      </c>
      <c r="E107" s="6" t="inlineStr">
        <is>
          <t>CCR</t>
        </is>
      </c>
      <c r="F107" s="7" t="inlineStr">
        <is>
          <t>Ocean Drive</t>
        </is>
      </c>
      <c r="G107" s="6" t="inlineStr">
        <is>
          <t>99 Years</t>
        </is>
      </c>
      <c r="H107" s="7" t="inlineStr">
        <is>
          <t>TC Development Pte Ltd</t>
        </is>
      </c>
      <c r="I107" s="8" t="n">
        <v>264</v>
      </c>
      <c r="J107" s="8" t="n">
        <v>1</v>
      </c>
      <c r="K107" s="6" t="inlineStr">
        <is>
          <t>2007-04-30</t>
        </is>
      </c>
      <c r="L107" s="6" t="inlineStr">
        <is>
          <t>2010-06-30</t>
        </is>
      </c>
      <c r="M107" s="7" t="inlineStr">
        <is>
          <t>Site plan traced</t>
        </is>
      </c>
      <c r="N107" s="6" t="inlineStr">
        <is>
          <t>307f403e5f6c401eae5c0d1d34c7bebf</t>
        </is>
      </c>
      <c r="O107" s="9" t="n"/>
      <c r="P107" s="9" t="n"/>
      <c r="Q107" s="10" t="n"/>
    </row>
    <row r="108">
      <c r="A108" s="6" t="n">
        <v>102</v>
      </c>
      <c r="B108" s="7" t="inlineStr">
        <is>
          <t>The Oliv</t>
        </is>
      </c>
      <c r="C108" s="6" t="inlineStr">
        <is>
          <t>D10</t>
        </is>
      </c>
      <c r="D108" s="7" t="inlineStr">
        <is>
          <t>Tanglin / Holland</t>
        </is>
      </c>
      <c r="E108" s="6" t="inlineStr">
        <is>
          <t>CCR</t>
        </is>
      </c>
      <c r="F108" s="7" t="inlineStr">
        <is>
          <t>11c Balmoral Road</t>
        </is>
      </c>
      <c r="G108" s="6" t="inlineStr">
        <is>
          <t>Freehold</t>
        </is>
      </c>
      <c r="H108" s="7" t="inlineStr">
        <is>
          <t>TG (Balmoral) Pte Ltd</t>
        </is>
      </c>
      <c r="I108" s="8" t="n">
        <v>23</v>
      </c>
      <c r="J108" s="8" t="n">
        <v>1</v>
      </c>
      <c r="K108" s="6" t="inlineStr">
        <is>
          <t>2018-12-31</t>
        </is>
      </c>
      <c r="L108" s="6" t="inlineStr">
        <is>
          <t>2013-06-30</t>
        </is>
      </c>
      <c r="M108" s="7" t="inlineStr">
        <is>
          <t>Schematic layout</t>
        </is>
      </c>
      <c r="N108" s="6" t="inlineStr">
        <is>
          <t>7032341ad23d4aceb62ded1ea87a166c</t>
        </is>
      </c>
      <c r="O108" s="9" t="n"/>
      <c r="P108" s="9" t="n"/>
      <c r="Q108" s="10" t="n"/>
    </row>
    <row r="109">
      <c r="A109" s="6" t="n">
        <v>103</v>
      </c>
      <c r="B109" s="7" t="inlineStr">
        <is>
          <t>The Orie</t>
        </is>
      </c>
      <c r="C109" s="6" t="inlineStr">
        <is>
          <t>D12</t>
        </is>
      </c>
      <c r="D109" s="7" t="inlineStr">
        <is>
          <t>Balestier / Toa Payoh</t>
        </is>
      </c>
      <c r="E109" s="6" t="inlineStr">
        <is>
          <t>RCR</t>
        </is>
      </c>
      <c r="F109" s="7" t="inlineStr">
        <is>
          <t xml:space="preserve">10 , 12 Lorong 1 Toa Payoh
</t>
        </is>
      </c>
      <c r="G109" s="6" t="inlineStr">
        <is>
          <t>99 Years</t>
        </is>
      </c>
      <c r="H109" s="7" t="inlineStr">
        <is>
          <t>TRANSCEND RESIDENTIAL (TOA PAYOH) PTE. LTD</t>
        </is>
      </c>
      <c r="I109" s="8" t="n">
        <v>777</v>
      </c>
      <c r="J109" s="8" t="n">
        <v>34</v>
      </c>
      <c r="K109" s="6" t="inlineStr">
        <is>
          <t>2025-01-18</t>
        </is>
      </c>
      <c r="L109" s="6" t="inlineStr">
        <is>
          <t>2028-06-30</t>
        </is>
      </c>
      <c r="M109" s="7" t="inlineStr">
        <is>
          <t>Site plan traced</t>
        </is>
      </c>
      <c r="N109" s="6" t="inlineStr">
        <is>
          <t>23a0bd1f430c4d55a8bf6fd39fb177b8</t>
        </is>
      </c>
      <c r="O109" s="9" t="n"/>
      <c r="P109" s="9" t="n"/>
      <c r="Q109" s="10" t="n"/>
    </row>
    <row r="110">
      <c r="A110" s="6" t="n">
        <v>104</v>
      </c>
      <c r="B110" s="7" t="inlineStr">
        <is>
          <t>The Ranz</t>
        </is>
      </c>
      <c r="C110" s="6" t="inlineStr">
        <is>
          <t>D08</t>
        </is>
      </c>
      <c r="D110" s="7" t="inlineStr">
        <is>
          <t>Farrer Park / Serangoon Road</t>
        </is>
      </c>
      <c r="E110" s="6" t="inlineStr">
        <is>
          <t>RCR</t>
        </is>
      </c>
      <c r="F110" s="7" t="inlineStr">
        <is>
          <t>109 Rangoon Road</t>
        </is>
      </c>
      <c r="G110" s="6" t="inlineStr">
        <is>
          <t>Freehold</t>
        </is>
      </c>
      <c r="H110" s="7" t="inlineStr">
        <is>
          <t>Kefi Development Pte. Ltd.</t>
        </is>
      </c>
      <c r="I110" s="8" t="n">
        <v>17</v>
      </c>
      <c r="J110" s="8" t="n">
        <v>4</v>
      </c>
      <c r="K110" s="6" t="inlineStr">
        <is>
          <t>2024-12-31</t>
        </is>
      </c>
      <c r="L110" s="6" t="inlineStr">
        <is>
          <t>2025-10-31</t>
        </is>
      </c>
      <c r="M110" s="7" t="inlineStr">
        <is>
          <t>Schematic layout</t>
        </is>
      </c>
      <c r="N110" s="6" t="inlineStr">
        <is>
          <t>828a0cc539e54e7e90dcaee7e5c1f995</t>
        </is>
      </c>
      <c r="O110" s="9" t="n"/>
      <c r="P110" s="9" t="n"/>
      <c r="Q110" s="10" t="n"/>
    </row>
    <row r="111">
      <c r="A111" s="6" t="n">
        <v>105</v>
      </c>
      <c r="B111" s="7" t="inlineStr">
        <is>
          <t>The Residences At W Singapore Sentosa Cove</t>
        </is>
      </c>
      <c r="C111" s="6" t="inlineStr">
        <is>
          <t>D04</t>
        </is>
      </c>
      <c r="D111" s="7" t="inlineStr">
        <is>
          <t>Harbourfront / Telok Blangah</t>
        </is>
      </c>
      <c r="E111" s="6" t="inlineStr">
        <is>
          <t>CCR</t>
        </is>
      </c>
      <c r="F111" s="7" t="inlineStr">
        <is>
          <t>1,3,5,7,9,11,13 Ocean Way</t>
        </is>
      </c>
      <c r="G111" s="6" t="inlineStr">
        <is>
          <t>99 Years</t>
        </is>
      </c>
      <c r="H111" s="7" t="inlineStr">
        <is>
          <t>Cityview Place Holdings Pte Ltd</t>
        </is>
      </c>
      <c r="I111" s="8" t="n">
        <v>228</v>
      </c>
      <c r="J111" s="8" t="n">
        <v>71</v>
      </c>
      <c r="K111" s="6" t="inlineStr">
        <is>
          <t>2024-04-24</t>
        </is>
      </c>
      <c r="L111" s="6" t="inlineStr">
        <is>
          <t>2011-04-01</t>
        </is>
      </c>
      <c r="M111" s="7" t="inlineStr">
        <is>
          <t>Site plan traced</t>
        </is>
      </c>
      <c r="N111" s="6" t="inlineStr">
        <is>
          <t>661aa8688a254e52a53146a28d5820fe</t>
        </is>
      </c>
      <c r="O111" s="9" t="n"/>
      <c r="P111" s="9" t="n"/>
      <c r="Q111" s="10" t="n"/>
    </row>
    <row r="112">
      <c r="A112" s="6" t="n">
        <v>106</v>
      </c>
      <c r="B112" s="7" t="inlineStr">
        <is>
          <t>The Ritz-Carlton</t>
        </is>
      </c>
      <c r="C112" s="6" t="inlineStr">
        <is>
          <t>D09</t>
        </is>
      </c>
      <c r="D112" s="7" t="inlineStr">
        <is>
          <t>Orchard / River Valley</t>
        </is>
      </c>
      <c r="E112" s="6" t="inlineStr">
        <is>
          <t>CCR</t>
        </is>
      </c>
      <c r="F112" s="7" t="inlineStr">
        <is>
          <t>65 Cairnhill Road</t>
        </is>
      </c>
      <c r="G112" s="6" t="inlineStr">
        <is>
          <t>Freehold</t>
        </is>
      </c>
      <c r="H112" s="7" t="inlineStr">
        <is>
          <t>Royce Properties Pte Ltd</t>
        </is>
      </c>
      <c r="I112" s="8" t="n">
        <v>58</v>
      </c>
      <c r="J112" s="8" t="n">
        <v>1</v>
      </c>
      <c r="K112" s="6" t="inlineStr">
        <is>
          <t>2007-12-26</t>
        </is>
      </c>
      <c r="L112" s="6" t="inlineStr">
        <is>
          <t>2013-06-30</t>
        </is>
      </c>
      <c r="M112" s="7" t="inlineStr">
        <is>
          <t>Site plan traced</t>
        </is>
      </c>
      <c r="N112" s="6" t="inlineStr">
        <is>
          <t>84c852f5e4334c808facaf3560bb387a</t>
        </is>
      </c>
      <c r="O112" s="9" t="n"/>
      <c r="P112" s="9" t="n"/>
      <c r="Q112" s="10" t="n"/>
    </row>
    <row r="113">
      <c r="A113" s="6" t="n">
        <v>107</v>
      </c>
      <c r="B113" s="7" t="inlineStr">
        <is>
          <t>The Robertson Opus</t>
        </is>
      </c>
      <c r="C113" s="6" t="inlineStr">
        <is>
          <t>D09</t>
        </is>
      </c>
      <c r="D113" s="7" t="inlineStr">
        <is>
          <t>Orchard / River Valley</t>
        </is>
      </c>
      <c r="E113" s="6" t="inlineStr">
        <is>
          <t>CCR</t>
        </is>
      </c>
      <c r="F113" s="7" t="inlineStr">
        <is>
          <t>7, 9,11,13,15 Unity Street</t>
        </is>
      </c>
      <c r="G113" s="6" t="inlineStr">
        <is>
          <t>999 years</t>
        </is>
      </c>
      <c r="H113" s="7" t="inlineStr">
        <is>
          <t>RIVERSIDE PROPERTY PTE. LTD</t>
        </is>
      </c>
      <c r="I113" s="8" t="n">
        <v>348</v>
      </c>
      <c r="J113" s="8" t="n">
        <v>137</v>
      </c>
      <c r="K113" s="6" t="inlineStr">
        <is>
          <t>2025-07-19</t>
        </is>
      </c>
      <c r="L113" s="6" t="inlineStr">
        <is>
          <t>2030-06-30</t>
        </is>
      </c>
      <c r="M113" s="7" t="inlineStr">
        <is>
          <t>Site plan traced</t>
        </is>
      </c>
      <c r="N113" s="6" t="inlineStr">
        <is>
          <t>6e92774ddc714ac293689aa98e405609</t>
        </is>
      </c>
      <c r="O113" s="9" t="n"/>
      <c r="P113" s="9" t="n"/>
      <c r="Q113" s="10" t="n"/>
    </row>
    <row r="114">
      <c r="A114" s="6" t="n">
        <v>108</v>
      </c>
      <c r="B114" s="7" t="inlineStr">
        <is>
          <t>The Sen</t>
        </is>
      </c>
      <c r="C114" s="6" t="inlineStr">
        <is>
          <t>D21</t>
        </is>
      </c>
      <c r="D114" s="7" t="inlineStr">
        <is>
          <t>Clementi / Upper Bukit Timah</t>
        </is>
      </c>
      <c r="E114" s="6" t="inlineStr">
        <is>
          <t>RCR</t>
        </is>
      </c>
      <c r="F114" s="7" t="inlineStr">
        <is>
          <t>222 ， 224， 226， 228， 230 Jalan Jurong Kechil</t>
        </is>
      </c>
      <c r="G114" s="6" t="inlineStr">
        <is>
          <t>99 years</t>
        </is>
      </c>
      <c r="H114" s="7" t="inlineStr">
        <is>
          <t>SL Capital (8) Pte Ltd</t>
        </is>
      </c>
      <c r="I114" s="8" t="n">
        <v>347</v>
      </c>
      <c r="J114" s="8" t="n">
        <v>165</v>
      </c>
      <c r="K114" s="6" t="inlineStr">
        <is>
          <t>2025-11-08</t>
        </is>
      </c>
      <c r="L114" s="6" t="inlineStr">
        <is>
          <t>2030-08-31</t>
        </is>
      </c>
      <c r="M114" s="7" t="inlineStr">
        <is>
          <t>Site plan traced</t>
        </is>
      </c>
      <c r="N114" s="6" t="inlineStr">
        <is>
          <t>70b9d30f47f5447da1d5c4252439fd26</t>
        </is>
      </c>
      <c r="O114" s="9" t="n"/>
      <c r="P114" s="9" t="n"/>
      <c r="Q114" s="10" t="n"/>
    </row>
    <row r="115">
      <c r="A115" s="6" t="n">
        <v>109</v>
      </c>
      <c r="B115" s="7" t="inlineStr">
        <is>
          <t>The Serra Residences</t>
        </is>
      </c>
      <c r="C115" s="6" t="inlineStr">
        <is>
          <t>D11</t>
        </is>
      </c>
      <c r="D115" s="7" t="inlineStr">
        <is>
          <t>Newton / Novena</t>
        </is>
      </c>
      <c r="E115" s="6" t="inlineStr">
        <is>
          <t>CCR</t>
        </is>
      </c>
      <c r="F115" s="7" t="inlineStr">
        <is>
          <t>7 Bassein Road</t>
        </is>
      </c>
      <c r="G115" s="6" t="inlineStr">
        <is>
          <t>Freehold</t>
        </is>
      </c>
      <c r="H115" s="7" t="inlineStr">
        <is>
          <t>Far East Organization</t>
        </is>
      </c>
      <c r="I115" s="8" t="n">
        <v>133</v>
      </c>
      <c r="J115" s="8" t="n">
        <v>133</v>
      </c>
      <c r="K115" s="6" t="inlineStr">
        <is>
          <t>2026-10-17</t>
        </is>
      </c>
      <c r="L115" s="6" t="inlineStr">
        <is>
          <t>2030-12-31</t>
        </is>
      </c>
      <c r="M115" s="7" t="inlineStr">
        <is>
          <t>Full guide (hand-built)</t>
        </is>
      </c>
      <c r="N115" s="6" t="inlineStr">
        <is>
          <t>9b32cfe35f464320970f87d12aeffda6</t>
        </is>
      </c>
      <c r="O115" s="9" t="n"/>
      <c r="P115" s="9" t="n"/>
      <c r="Q115" s="10" t="n"/>
    </row>
    <row r="116">
      <c r="A116" s="6" t="n">
        <v>110</v>
      </c>
      <c r="B116" s="7" t="inlineStr">
        <is>
          <t>The Shorefront</t>
        </is>
      </c>
      <c r="C116" s="6" t="inlineStr">
        <is>
          <t>D17</t>
        </is>
      </c>
      <c r="D116" s="7" t="inlineStr">
        <is>
          <t>Loyang / Changi</t>
        </is>
      </c>
      <c r="E116" s="6" t="inlineStr">
        <is>
          <t>OCR</t>
        </is>
      </c>
      <c r="F116" s="7" t="inlineStr">
        <is>
          <t>165 Jalan Loyang Besar</t>
        </is>
      </c>
      <c r="G116" s="6" t="inlineStr">
        <is>
          <t>999 Years</t>
        </is>
      </c>
      <c r="H116" s="7" t="inlineStr">
        <is>
          <t>165@Loyang Pte Ltd</t>
        </is>
      </c>
      <c r="I116" s="8" t="n">
        <v>23</v>
      </c>
      <c r="J116" s="8" t="n">
        <v>6</v>
      </c>
      <c r="K116" s="6" t="inlineStr">
        <is>
          <t>2023-09-30</t>
        </is>
      </c>
      <c r="L116" s="6" t="inlineStr">
        <is>
          <t>2026-08-31</t>
        </is>
      </c>
      <c r="M116" s="7" t="inlineStr">
        <is>
          <t>Site plan traced</t>
        </is>
      </c>
      <c r="N116" s="6" t="inlineStr">
        <is>
          <t>707b1e5a66b34ba1ae679ae9caa298a7</t>
        </is>
      </c>
      <c r="O116" s="9" t="n"/>
      <c r="P116" s="9" t="n"/>
      <c r="Q116" s="10" t="n"/>
    </row>
    <row r="117">
      <c r="A117" s="6" t="n">
        <v>111</v>
      </c>
      <c r="B117" s="7" t="inlineStr">
        <is>
          <t>The Venue Shoppes</t>
        </is>
      </c>
      <c r="C117" s="6" t="inlineStr">
        <is>
          <t>D13</t>
        </is>
      </c>
      <c r="D117" s="7" t="inlineStr">
        <is>
          <t>Macpherson / Potong Pasir</t>
        </is>
      </c>
      <c r="E117" s="6" t="inlineStr">
        <is>
          <t>RCR</t>
        </is>
      </c>
      <c r="F117" s="7" t="inlineStr">
        <is>
          <t>6 Tai Thong Crescent</t>
        </is>
      </c>
      <c r="G117" s="6" t="inlineStr">
        <is>
          <t>99 Years</t>
        </is>
      </c>
      <c r="H117" s="7" t="inlineStr">
        <is>
          <t>Crescent View Developments Pte Ltd</t>
        </is>
      </c>
      <c r="I117" s="8" t="n">
        <v>11</v>
      </c>
      <c r="J117" s="8" t="n">
        <v>6</v>
      </c>
      <c r="K117" s="6" t="inlineStr">
        <is>
          <t>2014-11-30</t>
        </is>
      </c>
      <c r="L117" s="6" t="inlineStr">
        <is>
          <t>2017-03-31</t>
        </is>
      </c>
      <c r="M117" s="7" t="inlineStr">
        <is>
          <t>Schematic layout</t>
        </is>
      </c>
      <c r="N117" s="6" t="inlineStr">
        <is>
          <t>39a218d20187411db9c54d949edd17cd</t>
        </is>
      </c>
      <c r="O117" s="9" t="n"/>
      <c r="P117" s="9" t="n"/>
      <c r="Q117" s="10" t="n"/>
    </row>
    <row r="118">
      <c r="A118" s="6" t="n">
        <v>112</v>
      </c>
      <c r="B118" s="7" t="inlineStr">
        <is>
          <t>Thomson Reserve</t>
        </is>
      </c>
      <c r="C118" s="6" t="inlineStr">
        <is>
          <t>D20</t>
        </is>
      </c>
      <c r="D118" s="7" t="inlineStr">
        <is>
          <t>Ang Mo Kio / Bishan / Thomson</t>
        </is>
      </c>
      <c r="E118" s="6" t="inlineStr">
        <is>
          <t>RCR</t>
        </is>
      </c>
      <c r="F118" s="7" t="inlineStr">
        <is>
          <t>1, 3, 5, 7, 9, 11 Bright Hill Drive</t>
        </is>
      </c>
      <c r="G118" s="6" t="inlineStr">
        <is>
          <t>99 years</t>
        </is>
      </c>
      <c r="H118" s="7" t="inlineStr">
        <is>
          <t>Tamarind Development Pte. Ltd.</t>
        </is>
      </c>
      <c r="I118" s="8" t="n">
        <v>1268</v>
      </c>
      <c r="J118" s="8" t="n">
        <v>1268</v>
      </c>
      <c r="K118" s="6" t="inlineStr">
        <is>
          <t>2026-10-31</t>
        </is>
      </c>
      <c r="L118" s="6" t="inlineStr">
        <is>
          <t>2031-02-28</t>
        </is>
      </c>
      <c r="M118" s="7" t="inlineStr">
        <is>
          <t>Full guide (hand-built)</t>
        </is>
      </c>
      <c r="N118" s="6" t="inlineStr">
        <is>
          <t>50ba3d549264456cbe67a97565d66d79</t>
        </is>
      </c>
      <c r="O118" s="9" t="n"/>
      <c r="P118" s="9" t="n"/>
      <c r="Q118" s="10" t="n"/>
    </row>
    <row r="119">
      <c r="A119" s="6" t="n">
        <v>113</v>
      </c>
      <c r="B119" s="7" t="inlineStr">
        <is>
          <t>TMW Maxwell</t>
        </is>
      </c>
      <c r="C119" s="6" t="inlineStr">
        <is>
          <t>D02</t>
        </is>
      </c>
      <c r="D119" s="7" t="inlineStr">
        <is>
          <t>Chinatown / Tanjong Pagar</t>
        </is>
      </c>
      <c r="E119" s="6" t="inlineStr">
        <is>
          <t>RCR</t>
        </is>
      </c>
      <c r="F119" s="7" t="inlineStr">
        <is>
          <t>31 Tras Street</t>
        </is>
      </c>
      <c r="G119" s="6" t="inlineStr">
        <is>
          <t>99 Years</t>
        </is>
      </c>
      <c r="H119" s="7" t="inlineStr">
        <is>
          <t>Maxwell Residential Pte Ltd and Maxwell Commercial Pte Ltd</t>
        </is>
      </c>
      <c r="I119" s="8" t="n">
        <v>324</v>
      </c>
      <c r="J119" s="8" t="n">
        <v>319</v>
      </c>
      <c r="K119" s="6" t="inlineStr">
        <is>
          <t>2023-08-01</t>
        </is>
      </c>
      <c r="L119" s="6" t="inlineStr">
        <is>
          <t>2027-03-31</t>
        </is>
      </c>
      <c r="M119" s="7" t="inlineStr">
        <is>
          <t>Site plan traced</t>
        </is>
      </c>
      <c r="N119" s="6" t="inlineStr">
        <is>
          <t>54aec0cc3a7a4a058e10fe7e21a44c17</t>
        </is>
      </c>
      <c r="O119" s="9" t="n"/>
      <c r="P119" s="9" t="n"/>
      <c r="Q119" s="10" t="n"/>
    </row>
    <row r="120">
      <c r="A120" s="6" t="n">
        <v>114</v>
      </c>
      <c r="B120" s="7" t="inlineStr">
        <is>
          <t>TRIO</t>
        </is>
      </c>
      <c r="C120" s="6" t="inlineStr">
        <is>
          <t>D08</t>
        </is>
      </c>
      <c r="D120" s="7" t="inlineStr">
        <is>
          <t>Farrer Park / Serangoon Road</t>
        </is>
      </c>
      <c r="E120" s="6" t="inlineStr">
        <is>
          <t>RCR</t>
        </is>
      </c>
      <c r="F120" s="7" t="inlineStr">
        <is>
          <t>11 Sam Leong Road</t>
        </is>
      </c>
      <c r="G120" s="6" t="inlineStr">
        <is>
          <t>Freehold</t>
        </is>
      </c>
      <c r="H120" s="7" t="inlineStr">
        <is>
          <t>Unique Commercial Pte Ltd</t>
        </is>
      </c>
      <c r="I120" s="8" t="n">
        <v>43</v>
      </c>
      <c r="J120" s="8" t="n">
        <v>25</v>
      </c>
      <c r="K120" s="6" t="inlineStr">
        <is>
          <t>2014-05-07</t>
        </is>
      </c>
      <c r="L120" s="6" t="inlineStr">
        <is>
          <t>2019-06-30</t>
        </is>
      </c>
      <c r="M120" s="7" t="inlineStr">
        <is>
          <t>Site plan traced</t>
        </is>
      </c>
      <c r="N120" s="6" t="inlineStr">
        <is>
          <t>aa70f67a979540b591df8451d924b6f3</t>
        </is>
      </c>
      <c r="O120" s="9" t="n"/>
      <c r="P120" s="9" t="n"/>
      <c r="Q120" s="10" t="n"/>
    </row>
    <row r="121">
      <c r="A121" s="6" t="n">
        <v>115</v>
      </c>
      <c r="B121" s="7" t="inlineStr">
        <is>
          <t>Turquoise</t>
        </is>
      </c>
      <c r="C121" s="6" t="inlineStr">
        <is>
          <t>D04</t>
        </is>
      </c>
      <c r="D121" s="7" t="inlineStr">
        <is>
          <t>Harbourfront / Telok Blangah</t>
        </is>
      </c>
      <c r="E121" s="6" t="inlineStr">
        <is>
          <t>CCR</t>
        </is>
      </c>
      <c r="F121" s="7" t="inlineStr">
        <is>
          <t>51/55 Cove Drive</t>
        </is>
      </c>
      <c r="G121" s="6" t="inlineStr">
        <is>
          <t>99 Years</t>
        </is>
      </c>
      <c r="H121" s="7" t="inlineStr">
        <is>
          <t>Ho Bee Cove Pte Ltd</t>
        </is>
      </c>
      <c r="I121" s="8" t="n">
        <v>91</v>
      </c>
      <c r="J121" s="8" t="n">
        <v>1</v>
      </c>
      <c r="K121" s="6" t="inlineStr">
        <is>
          <t>2007-10-24</t>
        </is>
      </c>
      <c r="L121" s="6" t="inlineStr">
        <is>
          <t>2010-06-26</t>
        </is>
      </c>
      <c r="M121" s="7" t="inlineStr">
        <is>
          <t>Schematic layout</t>
        </is>
      </c>
      <c r="N121" s="6" t="inlineStr">
        <is>
          <t>5ebd57bddd8545a2b059cc42a3361642</t>
        </is>
      </c>
      <c r="O121" s="9" t="n"/>
      <c r="P121" s="9" t="n"/>
      <c r="Q121" s="10" t="n"/>
    </row>
    <row r="122">
      <c r="A122" s="6" t="n">
        <v>116</v>
      </c>
      <c r="B122" s="7" t="inlineStr">
        <is>
          <t>Union Square Residences</t>
        </is>
      </c>
      <c r="C122" s="6" t="inlineStr">
        <is>
          <t>D01</t>
        </is>
      </c>
      <c r="D122" s="7" t="inlineStr">
        <is>
          <t>Boat Quay / Raffles Place</t>
        </is>
      </c>
      <c r="E122" s="6" t="inlineStr">
        <is>
          <t>RCR</t>
        </is>
      </c>
      <c r="F122" s="7" t="inlineStr">
        <is>
          <t xml:space="preserve">28 Havelock Road
</t>
        </is>
      </c>
      <c r="G122" s="6" t="inlineStr">
        <is>
          <t>99 Years</t>
        </is>
      </c>
      <c r="H122" s="7" t="inlineStr">
        <is>
          <t>CDL Libra Pte. Ltd.</t>
        </is>
      </c>
      <c r="I122" s="8" t="n">
        <v>366</v>
      </c>
      <c r="J122" s="8" t="n">
        <v>114</v>
      </c>
      <c r="K122" s="6" t="inlineStr">
        <is>
          <t>2024-11-16</t>
        </is>
      </c>
      <c r="L122" s="6" t="inlineStr">
        <is>
          <t>2031-03-15</t>
        </is>
      </c>
      <c r="M122" s="7" t="inlineStr">
        <is>
          <t>Site plan traced</t>
        </is>
      </c>
      <c r="N122" s="6" t="inlineStr">
        <is>
          <t>8799614909f948d280ad127a9f14360a</t>
        </is>
      </c>
      <c r="O122" s="9" t="n"/>
      <c r="P122" s="9" t="n"/>
      <c r="Q122" s="10" t="n"/>
    </row>
    <row r="123">
      <c r="A123" s="6" t="n">
        <v>117</v>
      </c>
      <c r="B123" s="7" t="inlineStr">
        <is>
          <t>UPPERHOUSE at Orchard Boulevard</t>
        </is>
      </c>
      <c r="C123" s="6" t="inlineStr">
        <is>
          <t>D10</t>
        </is>
      </c>
      <c r="D123" s="7" t="inlineStr">
        <is>
          <t>Tanglin / Holland</t>
        </is>
      </c>
      <c r="E123" s="6" t="inlineStr">
        <is>
          <t>CCR</t>
        </is>
      </c>
      <c r="F123" s="7" t="inlineStr">
        <is>
          <t>22 Orchard Boulevard</t>
        </is>
      </c>
      <c r="G123" s="6" t="inlineStr">
        <is>
          <t>99 Years</t>
        </is>
      </c>
      <c r="H123" s="7" t="inlineStr">
        <is>
          <t>United Venture Development (No.7) Pte, Ltd,</t>
        </is>
      </c>
      <c r="I123" s="8" t="n">
        <v>301</v>
      </c>
      <c r="J123" s="8" t="n">
        <v>51</v>
      </c>
      <c r="K123" s="6" t="inlineStr">
        <is>
          <t>2025-07-19</t>
        </is>
      </c>
      <c r="L123" s="6" t="inlineStr">
        <is>
          <t>2028-06-30</t>
        </is>
      </c>
      <c r="M123" s="7" t="inlineStr">
        <is>
          <t>Site plan traced</t>
        </is>
      </c>
      <c r="N123" s="6" t="inlineStr">
        <is>
          <t>7cf72256c81743dfba3986a927ef79e6</t>
        </is>
      </c>
      <c r="O123" s="9" t="n"/>
      <c r="P123" s="9" t="n"/>
      <c r="Q123" s="10" t="n"/>
    </row>
    <row r="124">
      <c r="A124" s="6" t="n">
        <v>118</v>
      </c>
      <c r="B124" s="7" t="inlineStr">
        <is>
          <t>V on Shenton .</t>
        </is>
      </c>
      <c r="C124" s="6" t="inlineStr">
        <is>
          <t>D01</t>
        </is>
      </c>
      <c r="D124" s="7" t="inlineStr">
        <is>
          <t>Boat Quay / Raffles Place</t>
        </is>
      </c>
      <c r="E124" s="6" t="inlineStr">
        <is>
          <t>CCR</t>
        </is>
      </c>
      <c r="F124" s="7" t="inlineStr">
        <is>
          <t>5 Shenton Way</t>
        </is>
      </c>
      <c r="G124" s="6" t="inlineStr">
        <is>
          <t>99 Years</t>
        </is>
      </c>
      <c r="H124" s="7" t="inlineStr">
        <is>
          <t>UIC Investments (Properties) Pte Ltd</t>
        </is>
      </c>
      <c r="I124" s="8" t="n">
        <v>510</v>
      </c>
      <c r="J124" s="8" t="n">
        <v>1</v>
      </c>
      <c r="K124" s="6" t="inlineStr">
        <is>
          <t>2015-01-08</t>
        </is>
      </c>
      <c r="L124" s="6" t="inlineStr">
        <is>
          <t>2017-12-31</t>
        </is>
      </c>
      <c r="M124" s="7" t="inlineStr">
        <is>
          <t>Schematic layout</t>
        </is>
      </c>
      <c r="N124" s="6" t="inlineStr">
        <is>
          <t>76e1d90c9c7d4ed3959ceb2f29b98858</t>
        </is>
      </c>
      <c r="O124" s="9" t="n"/>
      <c r="P124" s="9" t="n"/>
      <c r="Q124" s="10" t="n"/>
    </row>
    <row r="125">
      <c r="A125" s="6" t="n">
        <v>119</v>
      </c>
      <c r="B125" s="7" t="inlineStr">
        <is>
          <t>Vela Bay</t>
        </is>
      </c>
      <c r="C125" s="6" t="inlineStr">
        <is>
          <t>D16</t>
        </is>
      </c>
      <c r="D125" s="7" t="inlineStr">
        <is>
          <t>Bedok / Upper East Coast</t>
        </is>
      </c>
      <c r="E125" s="6" t="inlineStr">
        <is>
          <t>OCR</t>
        </is>
      </c>
      <c r="F125" s="7" t="inlineStr">
        <is>
          <t>1,3 Bayshore Walk</t>
        </is>
      </c>
      <c r="G125" s="6" t="inlineStr">
        <is>
          <t>99 Years</t>
        </is>
      </c>
      <c r="H125" s="7" t="inlineStr">
        <is>
          <t>SingHaiyi Group Pte Ltd</t>
        </is>
      </c>
      <c r="I125" s="8" t="n">
        <v>515</v>
      </c>
      <c r="J125" s="8" t="n">
        <v>128</v>
      </c>
      <c r="K125" s="6" t="inlineStr">
        <is>
          <t>2026-04-25</t>
        </is>
      </c>
      <c r="L125" s="6" t="inlineStr">
        <is>
          <t>2031-12-31</t>
        </is>
      </c>
      <c r="M125" s="7" t="inlineStr">
        <is>
          <t>Site plan traced</t>
        </is>
      </c>
      <c r="N125" s="6" t="inlineStr">
        <is>
          <t>cf7d4684ea39448697222b2a7d7aeab6</t>
        </is>
      </c>
      <c r="O125" s="9" t="n"/>
      <c r="P125" s="9" t="n"/>
      <c r="Q125" s="10" t="n"/>
    </row>
    <row r="126">
      <c r="A126" s="6" t="n">
        <v>120</v>
      </c>
      <c r="B126" s="7" t="inlineStr">
        <is>
          <t>Verde Joo Chiat</t>
        </is>
      </c>
      <c r="C126" s="6" t="inlineStr">
        <is>
          <t>D15</t>
        </is>
      </c>
      <c r="D126" s="7" t="inlineStr">
        <is>
          <t>East Coast / Marine Parade</t>
        </is>
      </c>
      <c r="E126" s="6" t="inlineStr">
        <is>
          <t>RCR</t>
        </is>
      </c>
      <c r="F126" s="7" t="inlineStr">
        <is>
          <t>108 Joo Chiat Ter</t>
        </is>
      </c>
      <c r="G126" s="6" t="inlineStr">
        <is>
          <t>Freehold</t>
        </is>
      </c>
      <c r="H126" s="7" t="inlineStr">
        <is>
          <t>MNG 108 PTE LTD</t>
        </is>
      </c>
      <c r="I126" s="8" t="n">
        <v>18</v>
      </c>
      <c r="J126" s="8" t="n">
        <v>4</v>
      </c>
      <c r="K126" s="6" t="inlineStr">
        <is>
          <t>2026-05-21</t>
        </is>
      </c>
      <c r="L126" s="6" t="inlineStr">
        <is>
          <t>2029-03-31</t>
        </is>
      </c>
      <c r="M126" s="7" t="inlineStr">
        <is>
          <t>Site plan traced</t>
        </is>
      </c>
      <c r="N126" s="6" t="inlineStr">
        <is>
          <t>ebe493a28ec14ba6b966faa7476fa25f</t>
        </is>
      </c>
      <c r="O126" s="9" t="n"/>
      <c r="P126" s="9" t="n"/>
      <c r="Q126" s="10" t="n"/>
    </row>
    <row r="127">
      <c r="A127" s="6" t="n">
        <v>121</v>
      </c>
      <c r="B127" s="7" t="inlineStr">
        <is>
          <t>Villas @ Greenbank Park</t>
        </is>
      </c>
      <c r="C127" s="6" t="inlineStr">
        <is>
          <t>D21</t>
        </is>
      </c>
      <c r="D127" s="7" t="inlineStr">
        <is>
          <t>Clementi / Upper Bukit Timah</t>
        </is>
      </c>
      <c r="E127" s="6" t="inlineStr">
        <is>
          <t>RCR</t>
        </is>
      </c>
      <c r="F127" s="7" t="inlineStr">
        <is>
          <t>50 , 52  GREENBANK PARK  –semi-detached
54 GREENBANK PARK  – bungalow</t>
        </is>
      </c>
      <c r="G127" s="6" t="inlineStr">
        <is>
          <t>Freehold</t>
        </is>
      </c>
      <c r="H127" s="7" t="inlineStr">
        <is>
          <t>TONG ENG BROTHERS PTE LTD</t>
        </is>
      </c>
      <c r="I127" s="8" t="n">
        <v>3</v>
      </c>
      <c r="J127" s="8" t="n">
        <v>2</v>
      </c>
      <c r="K127" s="6" t="inlineStr">
        <is>
          <t>2025-05-31</t>
        </is>
      </c>
      <c r="L127" s="6" t="inlineStr">
        <is>
          <t>2026-07-16</t>
        </is>
      </c>
      <c r="M127" s="7" t="inlineStr">
        <is>
          <t>Site plan traced</t>
        </is>
      </c>
      <c r="N127" s="6" t="inlineStr">
        <is>
          <t>9072d5ee72fe4606bdbc6c8f76229272</t>
        </is>
      </c>
      <c r="O127" s="9" t="n"/>
      <c r="P127" s="9" t="n"/>
      <c r="Q127" s="10" t="n"/>
    </row>
    <row r="128">
      <c r="A128" s="6" t="n">
        <v>122</v>
      </c>
      <c r="B128" s="7" t="inlineStr">
        <is>
          <t>Villas @ Old Tampines Road</t>
        </is>
      </c>
      <c r="C128" s="6" t="inlineStr">
        <is>
          <t>D17</t>
        </is>
      </c>
      <c r="D128" s="7" t="inlineStr">
        <is>
          <t>Loyang / Changi</t>
        </is>
      </c>
      <c r="E128" s="6" t="inlineStr">
        <is>
          <t>OCR</t>
        </is>
      </c>
      <c r="F128" s="7" t="inlineStr">
        <is>
          <t>30 , 32 OLD TAMPINES ROAD SINGAPORE (Semi-D) ,      
36 OLD TAMPINES ROAD SINGAPORE (Bungalow)</t>
        </is>
      </c>
      <c r="G128" s="6" t="inlineStr">
        <is>
          <t>Freehold</t>
        </is>
      </c>
      <c r="H128" s="7" t="inlineStr">
        <is>
          <t>Tong Eng Brothers Pte Ltd</t>
        </is>
      </c>
      <c r="I128" s="8" t="n">
        <v>3</v>
      </c>
      <c r="J128" s="8" t="n">
        <v>2</v>
      </c>
      <c r="K128" s="6" t="inlineStr">
        <is>
          <t>2025-11-26</t>
        </is>
      </c>
      <c r="L128" s="6" t="inlineStr">
        <is>
          <t>2027-12-31</t>
        </is>
      </c>
      <c r="M128" s="7" t="inlineStr">
        <is>
          <t>Schematic layout</t>
        </is>
      </c>
      <c r="N128" s="6" t="inlineStr">
        <is>
          <t>0ae5eb46a9594750831d3c42fdbec970</t>
        </is>
      </c>
      <c r="O128" s="9" t="n"/>
      <c r="P128" s="9" t="n"/>
      <c r="Q128" s="10" t="n"/>
    </row>
    <row r="129">
      <c r="A129" s="6" t="n">
        <v>123</v>
      </c>
      <c r="B129" s="7" t="inlineStr">
        <is>
          <t>W Residences Marina View - Singapore</t>
        </is>
      </c>
      <c r="C129" s="6" t="inlineStr">
        <is>
          <t>D01</t>
        </is>
      </c>
      <c r="D129" s="7" t="inlineStr">
        <is>
          <t>Boat Quay / Raffles Place</t>
        </is>
      </c>
      <c r="E129" s="6" t="inlineStr">
        <is>
          <t>CCR</t>
        </is>
      </c>
      <c r="F129" s="7" t="inlineStr">
        <is>
          <t>22 Marina View</t>
        </is>
      </c>
      <c r="G129" s="6" t="inlineStr">
        <is>
          <t>99 Years</t>
        </is>
      </c>
      <c r="H129" s="7" t="inlineStr">
        <is>
          <t>Boulevard Development Pte Ltd (IOI Properties Singapore)</t>
        </is>
      </c>
      <c r="I129" s="8" t="n">
        <v>683</v>
      </c>
      <c r="J129" s="8" t="n">
        <v>667</v>
      </c>
      <c r="K129" s="6" t="inlineStr">
        <is>
          <t>2025-07-12</t>
        </is>
      </c>
      <c r="L129" s="6" t="inlineStr">
        <is>
          <t>2028-06-30</t>
        </is>
      </c>
      <c r="M129" s="7" t="inlineStr">
        <is>
          <t>Site plan traced</t>
        </is>
      </c>
      <c r="N129" s="6" t="inlineStr">
        <is>
          <t>5172e27253f14c63b687f97a1ae26c15</t>
        </is>
      </c>
      <c r="O129" s="9" t="n"/>
      <c r="P129" s="9" t="n"/>
      <c r="Q129" s="10" t="n"/>
    </row>
    <row r="130">
      <c r="A130" s="6" t="n">
        <v>124</v>
      </c>
      <c r="B130" s="7" t="inlineStr">
        <is>
          <t>West Connect Building</t>
        </is>
      </c>
      <c r="C130" s="6" t="inlineStr">
        <is>
          <t>D22</t>
        </is>
      </c>
      <c r="D130" s="7" t="inlineStr">
        <is>
          <t>Boon Lay / Jurong / Tuas</t>
        </is>
      </c>
      <c r="E130" s="6" t="inlineStr">
        <is>
          <t>OCR</t>
        </is>
      </c>
      <c r="F130" s="7" t="inlineStr">
        <is>
          <t>10 Buroh Street</t>
        </is>
      </c>
      <c r="G130" s="6" t="inlineStr">
        <is>
          <t>30 Years</t>
        </is>
      </c>
      <c r="H130" s="7" t="inlineStr">
        <is>
          <t>Publique Realty (Jurong) Pte Ltd</t>
        </is>
      </c>
      <c r="I130" s="8" t="n">
        <v>384</v>
      </c>
      <c r="J130" s="8" t="n">
        <v>205</v>
      </c>
      <c r="K130" s="6" t="inlineStr">
        <is>
          <t>2014-11-22</t>
        </is>
      </c>
      <c r="L130" s="6" t="inlineStr">
        <is>
          <t>2016-12-31</t>
        </is>
      </c>
      <c r="M130" s="7" t="inlineStr">
        <is>
          <t>Schematic layout</t>
        </is>
      </c>
      <c r="N130" s="6" t="inlineStr">
        <is>
          <t>c3b3b7b232e744c79e1e00a2a9b37eb1</t>
        </is>
      </c>
      <c r="O130" s="9" t="n"/>
      <c r="P130" s="9" t="n"/>
      <c r="Q130" s="10" t="n"/>
    </row>
    <row r="131">
      <c r="A131" s="6" t="n">
        <v>125</v>
      </c>
      <c r="B131" s="7" t="inlineStr">
        <is>
          <t>Wynwood Grand</t>
        </is>
      </c>
      <c r="C131" s="6" t="inlineStr">
        <is>
          <t>D25</t>
        </is>
      </c>
      <c r="D131" s="7" t="inlineStr">
        <is>
          <t>Admiralty / Woodlands</t>
        </is>
      </c>
      <c r="E131" s="6" t="inlineStr">
        <is>
          <t>OCR</t>
        </is>
      </c>
      <c r="F131" s="7" t="inlineStr">
        <is>
          <t>Woodlands Drive 17</t>
        </is>
      </c>
      <c r="G131" s="6" t="inlineStr">
        <is>
          <t>99 Years</t>
        </is>
      </c>
      <c r="H131" s="7" t="inlineStr">
        <is>
          <t>CDL</t>
        </is>
      </c>
      <c r="I131" s="8" t="n">
        <v>420</v>
      </c>
      <c r="J131" s="8" t="n"/>
      <c r="K131" s="6" t="inlineStr">
        <is>
          <t>2027-01-31</t>
        </is>
      </c>
      <c r="L131" s="6" t="inlineStr">
        <is>
          <t>2029-12-31</t>
        </is>
      </c>
      <c r="M131" s="7" t="inlineStr">
        <is>
          <t>Coming soon (units not released)</t>
        </is>
      </c>
      <c r="N131" s="6" t="inlineStr">
        <is>
          <t>adbd4a81ec6c4032b0c6d018860067f8</t>
        </is>
      </c>
      <c r="O131" s="9" t="n"/>
      <c r="P131" s="9" t="n"/>
      <c r="Q131" s="10" t="n"/>
    </row>
    <row r="132">
      <c r="A132" s="6" t="n">
        <v>126</v>
      </c>
      <c r="B132" s="7" t="inlineStr">
        <is>
          <t>Zyon Grand</t>
        </is>
      </c>
      <c r="C132" s="6" t="inlineStr">
        <is>
          <t>D03</t>
        </is>
      </c>
      <c r="D132" s="7" t="inlineStr">
        <is>
          <t>Alexandra / Commonwealth</t>
        </is>
      </c>
      <c r="E132" s="6" t="inlineStr">
        <is>
          <t>RCR</t>
        </is>
      </c>
      <c r="F132" s="7" t="inlineStr">
        <is>
          <t>3 , 5 Kim Seng Road</t>
        </is>
      </c>
      <c r="G132" s="6" t="inlineStr">
        <is>
          <t>99 years</t>
        </is>
      </c>
      <c r="H132" s="7" t="inlineStr">
        <is>
          <t>CDL-MFA Altair Property Pte Ltd</t>
        </is>
      </c>
      <c r="I132" s="8" t="n">
        <v>706</v>
      </c>
      <c r="J132" s="8" t="n">
        <v>70</v>
      </c>
      <c r="K132" s="6" t="inlineStr">
        <is>
          <t>2025-10-25</t>
        </is>
      </c>
      <c r="L132" s="6" t="inlineStr">
        <is>
          <t>2032-09-30</t>
        </is>
      </c>
      <c r="M132" s="7" t="inlineStr">
        <is>
          <t>Site plan traced</t>
        </is>
      </c>
      <c r="N132" s="6" t="inlineStr">
        <is>
          <t>a92578afb30f481ea19b4bf48fffb96b</t>
        </is>
      </c>
      <c r="O132" s="9" t="n"/>
      <c r="P132" s="9" t="n"/>
      <c r="Q132" s="10" t="n"/>
    </row>
  </sheetData>
  <autoFilter ref="A5:Q132"/>
  <mergeCells count="1">
    <mergeCell ref="A3:Q3"/>
  </mergeCells>
  <dataValidations count="1">
    <dataValidation sqref="Q7:Q132" showDropDown="0" showInputMessage="0" showErrorMessage="0" allowBlank="1" error="Enter a distance in km between 0 and 10, or leave blank." type="decimal" operator="between">
      <formula1>0</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2" customWidth="1" min="2" max="2"/>
  </cols>
  <sheetData>
    <row r="1">
      <c r="A1" s="1" t="inlineStr">
        <is>
          <t>Summary</t>
        </is>
      </c>
    </row>
    <row r="3">
      <c r="A3" s="2" t="inlineStr">
        <is>
          <t>Projects on the map</t>
        </is>
      </c>
      <c r="B3" s="2">
        <f>COUNTA(Projects!B7:B132)</f>
        <v/>
      </c>
    </row>
    <row r="4">
      <c r="A4" s="2" t="inlineStr">
        <is>
          <t>Comparables filled in</t>
        </is>
      </c>
      <c r="B4" s="2">
        <f>COUNTIF(Projects!O7:O132,"?*")</f>
        <v/>
      </c>
    </row>
    <row r="5">
      <c r="A5" s="2" t="inlineStr">
        <is>
          <t>Still to fill in</t>
        </is>
      </c>
      <c r="B5" s="2">
        <f>B3-B4</f>
        <v/>
      </c>
    </row>
    <row r="6">
      <c r="A6" s="2" t="inlineStr">
        <is>
          <t>Site plan traced</t>
        </is>
      </c>
      <c r="B6" s="2">
        <f>COUNTIF(Projects!M7:M132,"Site plan traced")</f>
        <v/>
      </c>
    </row>
    <row r="7">
      <c r="A7" s="2" t="inlineStr">
        <is>
          <t>Schematic layout</t>
        </is>
      </c>
      <c r="B7" s="2">
        <f>COUNTIF(Projects!M7:M132,"Schematic layout")</f>
        <v/>
      </c>
    </row>
    <row r="8">
      <c r="A8" s="2" t="inlineStr">
        <is>
          <t>Coming soon</t>
        </is>
      </c>
      <c r="B8" s="2">
        <f>COUNTIF(Projects!M7:M132,"Coming soon*")</f>
        <v/>
      </c>
    </row>
    <row r="9">
      <c r="A9" s="2" t="inlineStr">
        <is>
          <t>Full guide (hand-built)</t>
        </is>
      </c>
      <c r="B9" s="2">
        <f>COUNTIF(Projects!M7:M132,"Full guide*")</f>
        <v/>
      </c>
    </row>
    <row r="11">
      <c r="A11" s="11" t="inlineStr">
        <is>
          <t>Source: Huttons New Launch API, catalogue as at 2026-10-05. Units left changes daily.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2026-10-06T02:42:20Z</dcterms:created>
  <dcterms:modified xsi:type="dcterms:W3CDTF">2026-10-06T02:49:41Z</dcterms:modified>
</cp:coreProperties>
</file>